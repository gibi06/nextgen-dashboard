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thva-my.sharepoint.com/personal/abdulla_alkwidr_hva_nl/Documents/Block 8 (Col2-5)/project/"/>
    </mc:Choice>
  </mc:AlternateContent>
  <xr:revisionPtr revIDLastSave="3111" documentId="8_{8D408850-32E3-4932-9CE3-30AC4A1E1AEC}" xr6:coauthVersionLast="47" xr6:coauthVersionMax="47" xr10:uidLastSave="{5545A0F9-075E-4782-8720-0DBA93EE24AD}"/>
  <bookViews>
    <workbookView xWindow="-108" yWindow="-108" windowWidth="23256" windowHeight="12456" firstSheet="6" activeTab="7" xr2:uid="{A6F2CA5D-B41F-42E7-9BB1-46E73B6D2CA3}"/>
  </bookViews>
  <sheets>
    <sheet name="Baseline 2025" sheetId="10" r:id="rId1"/>
    <sheet name="Baseline 2050" sheetId="20" r:id="rId2"/>
    <sheet name="Scenario 1 2025" sheetId="7" r:id="rId3"/>
    <sheet name="Scenario 1 2050" sheetId="17" r:id="rId4"/>
    <sheet name="Scenario 2 2025" sheetId="11" r:id="rId5"/>
    <sheet name="Scenario 2 2050" sheetId="18" r:id="rId6"/>
    <sheet name="Scenario 3 2025" sheetId="12" r:id="rId7"/>
    <sheet name="Scenario 3 2050" sheetId="19" r:id="rId8"/>
    <sheet name="main" sheetId="1" r:id="rId9"/>
    <sheet name="balance sheet" sheetId="4" r:id="rId10"/>
    <sheet name="assumptions" sheetId="6" r:id="rId11"/>
    <sheet name="feasibility" sheetId="15" r:id="rId12"/>
    <sheet name="KPI's" sheetId="16" r:id="rId13"/>
  </sheets>
  <externalReferences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9" l="1"/>
  <c r="N29" i="19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7" i="11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7" i="18"/>
  <c r="H14" i="20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7" i="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7" i="17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7" i="1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7" i="20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7" i="11"/>
  <c r="AK26" i="17"/>
  <c r="X8" i="17"/>
  <c r="AK8" i="17" s="1"/>
  <c r="X9" i="17"/>
  <c r="AK9" i="17" s="1"/>
  <c r="X10" i="17"/>
  <c r="AK10" i="17" s="1"/>
  <c r="X11" i="17"/>
  <c r="AK11" i="17" s="1"/>
  <c r="X12" i="17"/>
  <c r="AK12" i="17" s="1"/>
  <c r="X13" i="17"/>
  <c r="AK13" i="17" s="1"/>
  <c r="X14" i="17"/>
  <c r="AK14" i="17" s="1"/>
  <c r="X15" i="17"/>
  <c r="AK15" i="17" s="1"/>
  <c r="X16" i="17"/>
  <c r="AK16" i="17" s="1"/>
  <c r="X17" i="17"/>
  <c r="AK17" i="17" s="1"/>
  <c r="X18" i="17"/>
  <c r="AK18" i="17" s="1"/>
  <c r="X19" i="17"/>
  <c r="AK19" i="17" s="1"/>
  <c r="X20" i="17"/>
  <c r="AK20" i="17" s="1"/>
  <c r="X21" i="17"/>
  <c r="AK21" i="17" s="1"/>
  <c r="X22" i="17"/>
  <c r="AK22" i="17" s="1"/>
  <c r="X23" i="17"/>
  <c r="AK23" i="17" s="1"/>
  <c r="X24" i="17"/>
  <c r="AK24" i="17" s="1"/>
  <c r="X25" i="17"/>
  <c r="AK25" i="17" s="1"/>
  <c r="X26" i="17"/>
  <c r="X27" i="17"/>
  <c r="AK27" i="17" s="1"/>
  <c r="X28" i="17"/>
  <c r="AK28" i="17" s="1"/>
  <c r="X7" i="17"/>
  <c r="AK7" i="17" s="1"/>
  <c r="E7" i="20" l="1"/>
  <c r="A32" i="20" s="1"/>
  <c r="H7" i="20"/>
  <c r="J7" i="20"/>
  <c r="K7" i="20"/>
  <c r="L7" i="20" s="1"/>
  <c r="R7" i="20" s="1"/>
  <c r="X7" i="20"/>
  <c r="Y7" i="20"/>
  <c r="Z7" i="20"/>
  <c r="AA7" i="20" s="1"/>
  <c r="AQ7" i="20"/>
  <c r="E8" i="20"/>
  <c r="F8" i="20"/>
  <c r="G8" i="20"/>
  <c r="T8" i="20" s="1"/>
  <c r="H8" i="20"/>
  <c r="J8" i="20"/>
  <c r="K8" i="20"/>
  <c r="L8" i="20" s="1"/>
  <c r="R8" i="20" s="1"/>
  <c r="X8" i="20"/>
  <c r="Y8" i="20" s="1"/>
  <c r="Z8" i="20"/>
  <c r="AA8" i="20" s="1"/>
  <c r="AQ8" i="20"/>
  <c r="E9" i="20"/>
  <c r="F9" i="20" s="1"/>
  <c r="H9" i="20"/>
  <c r="J9" i="20"/>
  <c r="K9" i="20"/>
  <c r="L9" i="20" s="1"/>
  <c r="X9" i="20"/>
  <c r="Y9" i="20"/>
  <c r="Z9" i="20"/>
  <c r="AA9" i="20" s="1"/>
  <c r="AQ9" i="20"/>
  <c r="E10" i="20"/>
  <c r="A35" i="20" s="1"/>
  <c r="F10" i="20"/>
  <c r="G10" i="20"/>
  <c r="T10" i="20" s="1"/>
  <c r="H10" i="20"/>
  <c r="I10" i="20" s="1"/>
  <c r="J10" i="20"/>
  <c r="K10" i="20"/>
  <c r="L10" i="20" s="1"/>
  <c r="R10" i="20" s="1"/>
  <c r="X10" i="20"/>
  <c r="Y10" i="20"/>
  <c r="Z10" i="20"/>
  <c r="AA10" i="20" s="1"/>
  <c r="AQ10" i="20"/>
  <c r="E11" i="20"/>
  <c r="F11" i="20" s="1"/>
  <c r="H11" i="20"/>
  <c r="I11" i="20" s="1"/>
  <c r="J11" i="20"/>
  <c r="K11" i="20"/>
  <c r="L11" i="20" s="1"/>
  <c r="X11" i="20"/>
  <c r="Y11" i="20"/>
  <c r="Z11" i="20"/>
  <c r="AA11" i="20" s="1"/>
  <c r="AQ11" i="20"/>
  <c r="E12" i="20"/>
  <c r="A37" i="20" s="1"/>
  <c r="F12" i="20"/>
  <c r="G12" i="20"/>
  <c r="T12" i="20" s="1"/>
  <c r="H12" i="20"/>
  <c r="J12" i="20"/>
  <c r="K12" i="20"/>
  <c r="L12" i="20" s="1"/>
  <c r="R12" i="20" s="1"/>
  <c r="X12" i="20"/>
  <c r="Y12" i="20"/>
  <c r="Z12" i="20"/>
  <c r="AA12" i="20" s="1"/>
  <c r="AQ12" i="20"/>
  <c r="E13" i="20"/>
  <c r="F13" i="20" s="1"/>
  <c r="G13" i="20"/>
  <c r="T13" i="20" s="1"/>
  <c r="H13" i="20"/>
  <c r="I13" i="20" s="1"/>
  <c r="J13" i="20"/>
  <c r="K13" i="20"/>
  <c r="L13" i="20" s="1"/>
  <c r="R13" i="20" s="1"/>
  <c r="X13" i="20"/>
  <c r="Y13" i="20" s="1"/>
  <c r="Z13" i="20"/>
  <c r="AA13" i="20" s="1"/>
  <c r="AQ13" i="20"/>
  <c r="E14" i="20"/>
  <c r="A39" i="20" s="1"/>
  <c r="F14" i="20"/>
  <c r="J14" i="20"/>
  <c r="K14" i="20"/>
  <c r="L14" i="20"/>
  <c r="R14" i="20" s="1"/>
  <c r="X14" i="20"/>
  <c r="Y14" i="20"/>
  <c r="Z14" i="20"/>
  <c r="AA14" i="20" s="1"/>
  <c r="AQ14" i="20"/>
  <c r="E15" i="20"/>
  <c r="F15" i="20" s="1"/>
  <c r="H15" i="20"/>
  <c r="J15" i="20"/>
  <c r="K15" i="20"/>
  <c r="L15" i="20" s="1"/>
  <c r="R15" i="20" s="1"/>
  <c r="X15" i="20"/>
  <c r="Y15" i="20" s="1"/>
  <c r="Z15" i="20"/>
  <c r="AA15" i="20" s="1"/>
  <c r="AQ15" i="20"/>
  <c r="E16" i="20"/>
  <c r="A41" i="20" s="1"/>
  <c r="H16" i="20"/>
  <c r="J16" i="20"/>
  <c r="K16" i="20"/>
  <c r="L16" i="20" s="1"/>
  <c r="R16" i="20" s="1"/>
  <c r="X16" i="20"/>
  <c r="Y16" i="20"/>
  <c r="Z16" i="20"/>
  <c r="AA16" i="20" s="1"/>
  <c r="AQ16" i="20"/>
  <c r="E17" i="20"/>
  <c r="A42" i="20" s="1"/>
  <c r="F17" i="20"/>
  <c r="G17" i="20"/>
  <c r="T17" i="20" s="1"/>
  <c r="H17" i="20"/>
  <c r="I17" i="20"/>
  <c r="J17" i="20"/>
  <c r="K17" i="20"/>
  <c r="L17" i="20" s="1"/>
  <c r="R17" i="20" s="1"/>
  <c r="X17" i="20"/>
  <c r="Y17" i="20" s="1"/>
  <c r="Z17" i="20"/>
  <c r="AA17" i="20" s="1"/>
  <c r="AQ17" i="20"/>
  <c r="E18" i="20"/>
  <c r="G18" i="20" s="1"/>
  <c r="T18" i="20" s="1"/>
  <c r="F18" i="20"/>
  <c r="H18" i="20"/>
  <c r="J18" i="20"/>
  <c r="K18" i="20"/>
  <c r="L18" i="20" s="1"/>
  <c r="R18" i="20" s="1"/>
  <c r="X18" i="20"/>
  <c r="Y18" i="20"/>
  <c r="Z18" i="20"/>
  <c r="AA18" i="20" s="1"/>
  <c r="AQ18" i="20"/>
  <c r="F43" i="20" s="1"/>
  <c r="E19" i="20"/>
  <c r="G19" i="20" s="1"/>
  <c r="T19" i="20" s="1"/>
  <c r="H19" i="20"/>
  <c r="J19" i="20"/>
  <c r="K19" i="20"/>
  <c r="L19" i="20" s="1"/>
  <c r="R19" i="20" s="1"/>
  <c r="X19" i="20"/>
  <c r="Y19" i="20"/>
  <c r="Z19" i="20"/>
  <c r="AA19" i="20" s="1"/>
  <c r="AQ19" i="20"/>
  <c r="E20" i="20"/>
  <c r="A45" i="20" s="1"/>
  <c r="G20" i="20"/>
  <c r="T20" i="20" s="1"/>
  <c r="H20" i="20"/>
  <c r="I20" i="20"/>
  <c r="J20" i="20"/>
  <c r="K20" i="20"/>
  <c r="L20" i="20"/>
  <c r="R20" i="20" s="1"/>
  <c r="X20" i="20"/>
  <c r="Y20" i="20"/>
  <c r="Z20" i="20"/>
  <c r="AA20" i="20" s="1"/>
  <c r="AQ20" i="20"/>
  <c r="E21" i="20"/>
  <c r="A46" i="20" s="1"/>
  <c r="H21" i="20"/>
  <c r="J21" i="20"/>
  <c r="K21" i="20"/>
  <c r="L21" i="20" s="1"/>
  <c r="R21" i="20" s="1"/>
  <c r="X21" i="20"/>
  <c r="Y21" i="20"/>
  <c r="Z21" i="20"/>
  <c r="AA21" i="20" s="1"/>
  <c r="AQ21" i="20"/>
  <c r="E22" i="20"/>
  <c r="A47" i="20" s="1"/>
  <c r="H22" i="20"/>
  <c r="J22" i="20"/>
  <c r="K22" i="20"/>
  <c r="L22" i="20" s="1"/>
  <c r="R22" i="20" s="1"/>
  <c r="X22" i="20"/>
  <c r="Y22" i="20" s="1"/>
  <c r="Z22" i="20"/>
  <c r="AA22" i="20" s="1"/>
  <c r="AQ22" i="20"/>
  <c r="E23" i="20"/>
  <c r="A48" i="20" s="1"/>
  <c r="H23" i="20"/>
  <c r="J23" i="20"/>
  <c r="K23" i="20"/>
  <c r="L23" i="20" s="1"/>
  <c r="R23" i="20" s="1"/>
  <c r="X23" i="20"/>
  <c r="Y23" i="20"/>
  <c r="Z23" i="20"/>
  <c r="AA23" i="20" s="1"/>
  <c r="AQ23" i="20"/>
  <c r="E24" i="20"/>
  <c r="F24" i="20"/>
  <c r="G24" i="20"/>
  <c r="T24" i="20" s="1"/>
  <c r="H24" i="20"/>
  <c r="J24" i="20"/>
  <c r="K24" i="20"/>
  <c r="L24" i="20" s="1"/>
  <c r="R24" i="20" s="1"/>
  <c r="X24" i="20"/>
  <c r="Y24" i="20" s="1"/>
  <c r="Z24" i="20"/>
  <c r="AA24" i="20" s="1"/>
  <c r="AQ24" i="20"/>
  <c r="E25" i="20"/>
  <c r="G25" i="20" s="1"/>
  <c r="T25" i="20" s="1"/>
  <c r="H25" i="20"/>
  <c r="J25" i="20"/>
  <c r="K25" i="20"/>
  <c r="L25" i="20" s="1"/>
  <c r="R25" i="20" s="1"/>
  <c r="X25" i="20"/>
  <c r="Y25" i="20" s="1"/>
  <c r="Z25" i="20"/>
  <c r="AA25" i="20" s="1"/>
  <c r="AQ25" i="20"/>
  <c r="E26" i="20"/>
  <c r="F26" i="20" s="1"/>
  <c r="H26" i="20"/>
  <c r="J26" i="20"/>
  <c r="K26" i="20"/>
  <c r="L26" i="20" s="1"/>
  <c r="R26" i="20" s="1"/>
  <c r="X26" i="20"/>
  <c r="Y26" i="20" s="1"/>
  <c r="Z26" i="20"/>
  <c r="AA26" i="20" s="1"/>
  <c r="AQ26" i="20"/>
  <c r="E27" i="20"/>
  <c r="F52" i="20" s="1"/>
  <c r="H27" i="20"/>
  <c r="J27" i="20"/>
  <c r="K27" i="20"/>
  <c r="L27" i="20" s="1"/>
  <c r="R27" i="20" s="1"/>
  <c r="X27" i="20"/>
  <c r="Y27" i="20" s="1"/>
  <c r="Z27" i="20"/>
  <c r="AA27" i="20" s="1"/>
  <c r="AQ27" i="20"/>
  <c r="E28" i="20"/>
  <c r="A53" i="20" s="1"/>
  <c r="F28" i="20"/>
  <c r="H28" i="20"/>
  <c r="J28" i="20"/>
  <c r="K28" i="20"/>
  <c r="L28" i="20" s="1"/>
  <c r="R28" i="20" s="1"/>
  <c r="X28" i="20"/>
  <c r="Y28" i="20"/>
  <c r="Z28" i="20"/>
  <c r="AA28" i="20" s="1"/>
  <c r="AQ28" i="20"/>
  <c r="E7" i="19"/>
  <c r="F7" i="19"/>
  <c r="G7" i="19"/>
  <c r="T7" i="19" s="1"/>
  <c r="H7" i="19"/>
  <c r="J7" i="19"/>
  <c r="K7" i="19"/>
  <c r="X7" i="19"/>
  <c r="Y7" i="19" s="1"/>
  <c r="AK7" i="19" s="1"/>
  <c r="AN7" i="19"/>
  <c r="E8" i="19"/>
  <c r="G8" i="19" s="1"/>
  <c r="T8" i="19" s="1"/>
  <c r="H8" i="19"/>
  <c r="J8" i="19"/>
  <c r="K8" i="19"/>
  <c r="X8" i="19"/>
  <c r="Y8" i="19" s="1"/>
  <c r="AK8" i="19" s="1"/>
  <c r="AN8" i="19"/>
  <c r="E9" i="19"/>
  <c r="G9" i="19"/>
  <c r="T9" i="19" s="1"/>
  <c r="H9" i="19"/>
  <c r="I9" i="19" s="1"/>
  <c r="J9" i="19"/>
  <c r="K9" i="19"/>
  <c r="X9" i="19"/>
  <c r="Y9" i="19" s="1"/>
  <c r="AK9" i="19" s="1"/>
  <c r="AN9" i="19"/>
  <c r="E10" i="19"/>
  <c r="G10" i="19" s="1"/>
  <c r="T10" i="19" s="1"/>
  <c r="H10" i="19"/>
  <c r="J10" i="19"/>
  <c r="K10" i="19"/>
  <c r="X10" i="19"/>
  <c r="AN10" i="19"/>
  <c r="E11" i="19"/>
  <c r="F11" i="19" s="1"/>
  <c r="H11" i="19"/>
  <c r="I11" i="19" s="1"/>
  <c r="J11" i="19"/>
  <c r="K11" i="19"/>
  <c r="X11" i="19"/>
  <c r="Y11" i="19" s="1"/>
  <c r="AK11" i="19" s="1"/>
  <c r="AN11" i="19"/>
  <c r="E12" i="19"/>
  <c r="F12" i="19"/>
  <c r="G12" i="19"/>
  <c r="T12" i="19" s="1"/>
  <c r="H12" i="19"/>
  <c r="J12" i="19"/>
  <c r="K12" i="19"/>
  <c r="X12" i="19"/>
  <c r="Y12" i="19" s="1"/>
  <c r="AK12" i="19" s="1"/>
  <c r="AN12" i="19"/>
  <c r="E13" i="19"/>
  <c r="G13" i="19" s="1"/>
  <c r="T13" i="19" s="1"/>
  <c r="F13" i="19"/>
  <c r="H13" i="19"/>
  <c r="J13" i="19"/>
  <c r="K13" i="19"/>
  <c r="X13" i="19"/>
  <c r="Y13" i="19" s="1"/>
  <c r="AK13" i="19" s="1"/>
  <c r="AN13" i="19"/>
  <c r="E14" i="19"/>
  <c r="F14" i="19"/>
  <c r="H14" i="19"/>
  <c r="J14" i="19"/>
  <c r="K14" i="19"/>
  <c r="X14" i="19"/>
  <c r="Y14" i="19" s="1"/>
  <c r="AK14" i="19" s="1"/>
  <c r="AN14" i="19"/>
  <c r="E15" i="19"/>
  <c r="G15" i="19" s="1"/>
  <c r="T15" i="19" s="1"/>
  <c r="H15" i="19"/>
  <c r="J15" i="19"/>
  <c r="K15" i="19"/>
  <c r="X15" i="19"/>
  <c r="Y15" i="19" s="1"/>
  <c r="AK15" i="19" s="1"/>
  <c r="AN15" i="19"/>
  <c r="E16" i="19"/>
  <c r="F16" i="19"/>
  <c r="H16" i="19"/>
  <c r="J16" i="19"/>
  <c r="K16" i="19"/>
  <c r="X16" i="19"/>
  <c r="Y16" i="19" s="1"/>
  <c r="AK16" i="19" s="1"/>
  <c r="AN16" i="19"/>
  <c r="E17" i="19"/>
  <c r="G17" i="19" s="1"/>
  <c r="T17" i="19" s="1"/>
  <c r="H17" i="19"/>
  <c r="I17" i="19" s="1"/>
  <c r="J17" i="19"/>
  <c r="K17" i="19"/>
  <c r="X17" i="19"/>
  <c r="AN17" i="19"/>
  <c r="E18" i="19"/>
  <c r="F18" i="19"/>
  <c r="G18" i="19"/>
  <c r="T18" i="19" s="1"/>
  <c r="H18" i="19"/>
  <c r="J18" i="19"/>
  <c r="K18" i="19"/>
  <c r="X18" i="19"/>
  <c r="Y18" i="19" s="1"/>
  <c r="AK18" i="19" s="1"/>
  <c r="AN18" i="19"/>
  <c r="E19" i="19"/>
  <c r="F19" i="19" s="1"/>
  <c r="G19" i="19"/>
  <c r="T19" i="19" s="1"/>
  <c r="H19" i="19"/>
  <c r="J19" i="19"/>
  <c r="K19" i="19"/>
  <c r="X19" i="19"/>
  <c r="Y19" i="19" s="1"/>
  <c r="AK19" i="19" s="1"/>
  <c r="AN19" i="19"/>
  <c r="E20" i="19"/>
  <c r="F20" i="19"/>
  <c r="G20" i="19"/>
  <c r="T20" i="19" s="1"/>
  <c r="H20" i="19"/>
  <c r="I20" i="19" s="1"/>
  <c r="J20" i="19"/>
  <c r="K20" i="19"/>
  <c r="X20" i="19"/>
  <c r="Y20" i="19" s="1"/>
  <c r="AK20" i="19" s="1"/>
  <c r="AN20" i="19"/>
  <c r="E21" i="19"/>
  <c r="G21" i="19" s="1"/>
  <c r="T21" i="19" s="1"/>
  <c r="F21" i="19"/>
  <c r="H21" i="19"/>
  <c r="I21" i="19" s="1"/>
  <c r="J21" i="19"/>
  <c r="K21" i="19"/>
  <c r="L21" i="19" s="1"/>
  <c r="P21" i="19" s="1"/>
  <c r="X21" i="19"/>
  <c r="Y21" i="19" s="1"/>
  <c r="AK21" i="19" s="1"/>
  <c r="AN21" i="19"/>
  <c r="E22" i="19"/>
  <c r="G22" i="19" s="1"/>
  <c r="T22" i="19" s="1"/>
  <c r="F22" i="19"/>
  <c r="H22" i="19"/>
  <c r="J22" i="19"/>
  <c r="K22" i="19"/>
  <c r="X22" i="19"/>
  <c r="AN22" i="19"/>
  <c r="E23" i="19"/>
  <c r="F23" i="19"/>
  <c r="G23" i="19"/>
  <c r="T23" i="19" s="1"/>
  <c r="H23" i="19"/>
  <c r="I23" i="19" s="1"/>
  <c r="J23" i="19"/>
  <c r="K23" i="19"/>
  <c r="X23" i="19"/>
  <c r="Y23" i="19" s="1"/>
  <c r="AK23" i="19" s="1"/>
  <c r="AN23" i="19"/>
  <c r="E24" i="19"/>
  <c r="F24" i="19"/>
  <c r="G24" i="19"/>
  <c r="T24" i="19" s="1"/>
  <c r="H24" i="19"/>
  <c r="J24" i="19"/>
  <c r="K24" i="19"/>
  <c r="X24" i="19"/>
  <c r="Y24" i="19" s="1"/>
  <c r="AK24" i="19" s="1"/>
  <c r="AN24" i="19"/>
  <c r="E25" i="19"/>
  <c r="G25" i="19" s="1"/>
  <c r="T25" i="19" s="1"/>
  <c r="H25" i="19"/>
  <c r="J25" i="19"/>
  <c r="K25" i="19"/>
  <c r="X25" i="19"/>
  <c r="AN25" i="19"/>
  <c r="E26" i="19"/>
  <c r="G26" i="19" s="1"/>
  <c r="T26" i="19" s="1"/>
  <c r="F26" i="19"/>
  <c r="H26" i="19"/>
  <c r="J26" i="19"/>
  <c r="K26" i="19"/>
  <c r="X26" i="19"/>
  <c r="Y26" i="19" s="1"/>
  <c r="AK26" i="19" s="1"/>
  <c r="AN26" i="19"/>
  <c r="E27" i="19"/>
  <c r="G27" i="19" s="1"/>
  <c r="T27" i="19" s="1"/>
  <c r="H27" i="19"/>
  <c r="J27" i="19"/>
  <c r="K27" i="19"/>
  <c r="X27" i="19"/>
  <c r="Y27" i="19" s="1"/>
  <c r="AK27" i="19" s="1"/>
  <c r="AN27" i="19"/>
  <c r="E28" i="19"/>
  <c r="G28" i="19" s="1"/>
  <c r="T28" i="19" s="1"/>
  <c r="F28" i="19"/>
  <c r="H28" i="19"/>
  <c r="J28" i="19"/>
  <c r="K28" i="19"/>
  <c r="L28" i="19" s="1"/>
  <c r="P28" i="19" s="1"/>
  <c r="X28" i="19"/>
  <c r="Y28" i="19" s="1"/>
  <c r="AK28" i="19" s="1"/>
  <c r="AN28" i="19"/>
  <c r="E7" i="18"/>
  <c r="H7" i="18"/>
  <c r="J7" i="18"/>
  <c r="K7" i="18"/>
  <c r="L7" i="18" s="1"/>
  <c r="M7" i="18"/>
  <c r="X7" i="18"/>
  <c r="Y7" i="18" s="1"/>
  <c r="Z7" i="18"/>
  <c r="AQ7" i="18"/>
  <c r="E8" i="18"/>
  <c r="F8" i="18"/>
  <c r="H8" i="18"/>
  <c r="J8" i="18"/>
  <c r="K8" i="18"/>
  <c r="L8" i="18" s="1"/>
  <c r="M8" i="18"/>
  <c r="X8" i="18"/>
  <c r="Z8" i="18"/>
  <c r="AQ8" i="18"/>
  <c r="E9" i="18"/>
  <c r="F9" i="18" s="1"/>
  <c r="G9" i="18"/>
  <c r="T9" i="18" s="1"/>
  <c r="H9" i="18"/>
  <c r="J9" i="18"/>
  <c r="K9" i="18"/>
  <c r="L9" i="18" s="1"/>
  <c r="M9" i="18"/>
  <c r="X9" i="18"/>
  <c r="Y9" i="18" s="1"/>
  <c r="Z9" i="18"/>
  <c r="AA9" i="18" s="1"/>
  <c r="AQ9" i="18"/>
  <c r="E10" i="18"/>
  <c r="F10" i="18"/>
  <c r="H10" i="18"/>
  <c r="J10" i="18"/>
  <c r="K10" i="18"/>
  <c r="L10" i="18" s="1"/>
  <c r="M10" i="18"/>
  <c r="X10" i="18"/>
  <c r="Y10" i="18" s="1"/>
  <c r="Z10" i="18"/>
  <c r="AA10" i="18" s="1"/>
  <c r="AQ10" i="18"/>
  <c r="E11" i="18"/>
  <c r="F11" i="18"/>
  <c r="G11" i="18"/>
  <c r="H11" i="18"/>
  <c r="J11" i="18"/>
  <c r="K11" i="18"/>
  <c r="L11" i="18" s="1"/>
  <c r="M11" i="18"/>
  <c r="T11" i="18"/>
  <c r="X11" i="18"/>
  <c r="Z11" i="18"/>
  <c r="AA11" i="18" s="1"/>
  <c r="AQ11" i="18"/>
  <c r="E12" i="18"/>
  <c r="G12" i="18"/>
  <c r="T12" i="18" s="1"/>
  <c r="H12" i="18"/>
  <c r="I12" i="18" s="1"/>
  <c r="J12" i="18"/>
  <c r="K12" i="18"/>
  <c r="L12" i="18" s="1"/>
  <c r="M12" i="18"/>
  <c r="X12" i="18"/>
  <c r="Y12" i="18" s="1"/>
  <c r="Z12" i="18"/>
  <c r="AA12" i="18" s="1"/>
  <c r="AQ12" i="18"/>
  <c r="E13" i="18"/>
  <c r="F13" i="18" s="1"/>
  <c r="H13" i="18"/>
  <c r="J13" i="18"/>
  <c r="K13" i="18"/>
  <c r="L13" i="18" s="1"/>
  <c r="M13" i="18"/>
  <c r="X13" i="18"/>
  <c r="Y13" i="18" s="1"/>
  <c r="Z13" i="18"/>
  <c r="AA13" i="18"/>
  <c r="AQ13" i="18"/>
  <c r="I39" i="18" s="1"/>
  <c r="E14" i="18"/>
  <c r="G14" i="18" s="1"/>
  <c r="T14" i="18" s="1"/>
  <c r="H14" i="18"/>
  <c r="J14" i="18"/>
  <c r="K14" i="18"/>
  <c r="L14" i="18" s="1"/>
  <c r="M14" i="18"/>
  <c r="X14" i="18"/>
  <c r="Y14" i="18" s="1"/>
  <c r="Z14" i="18"/>
  <c r="AA14" i="18" s="1"/>
  <c r="AQ14" i="18"/>
  <c r="E15" i="18"/>
  <c r="F15" i="18" s="1"/>
  <c r="G15" i="18"/>
  <c r="T15" i="18" s="1"/>
  <c r="H15" i="18"/>
  <c r="J15" i="18"/>
  <c r="K15" i="18"/>
  <c r="L15" i="18" s="1"/>
  <c r="M15" i="18"/>
  <c r="X15" i="18"/>
  <c r="Y15" i="18" s="1"/>
  <c r="Z15" i="18"/>
  <c r="AA15" i="18" s="1"/>
  <c r="AQ15" i="18"/>
  <c r="E16" i="18"/>
  <c r="G16" i="18" s="1"/>
  <c r="T16" i="18" s="1"/>
  <c r="H16" i="18"/>
  <c r="J16" i="18"/>
  <c r="K16" i="18"/>
  <c r="L16" i="18" s="1"/>
  <c r="M16" i="18"/>
  <c r="X16" i="18"/>
  <c r="Y16" i="18" s="1"/>
  <c r="Z16" i="18"/>
  <c r="AA16" i="18" s="1"/>
  <c r="AQ16" i="18"/>
  <c r="E17" i="18"/>
  <c r="F17" i="18"/>
  <c r="G17" i="18"/>
  <c r="T17" i="18" s="1"/>
  <c r="H17" i="18"/>
  <c r="I17" i="18" s="1"/>
  <c r="J17" i="18"/>
  <c r="K17" i="18"/>
  <c r="L17" i="18" s="1"/>
  <c r="M17" i="18"/>
  <c r="X17" i="18"/>
  <c r="Y17" i="18" s="1"/>
  <c r="Z17" i="18"/>
  <c r="AA17" i="18" s="1"/>
  <c r="AQ17" i="18"/>
  <c r="E18" i="18"/>
  <c r="F18" i="18" s="1"/>
  <c r="G18" i="18"/>
  <c r="H18" i="18"/>
  <c r="J18" i="18"/>
  <c r="K18" i="18"/>
  <c r="L18" i="18" s="1"/>
  <c r="M18" i="18"/>
  <c r="T18" i="18"/>
  <c r="X18" i="18"/>
  <c r="Z18" i="18"/>
  <c r="AA18" i="18"/>
  <c r="AQ18" i="18"/>
  <c r="E19" i="18"/>
  <c r="H19" i="18"/>
  <c r="J19" i="18"/>
  <c r="K19" i="18"/>
  <c r="L19" i="18" s="1"/>
  <c r="M19" i="18"/>
  <c r="X19" i="18"/>
  <c r="Y19" i="18" s="1"/>
  <c r="Z19" i="18"/>
  <c r="AA19" i="18"/>
  <c r="AQ19" i="18"/>
  <c r="E20" i="18"/>
  <c r="F20" i="18" s="1"/>
  <c r="H20" i="18"/>
  <c r="J20" i="18"/>
  <c r="K20" i="18"/>
  <c r="L20" i="18" s="1"/>
  <c r="M20" i="18"/>
  <c r="X20" i="18"/>
  <c r="Y20" i="18" s="1"/>
  <c r="Z20" i="18"/>
  <c r="AA20" i="18"/>
  <c r="AQ20" i="18"/>
  <c r="E21" i="18"/>
  <c r="H21" i="18"/>
  <c r="J21" i="18"/>
  <c r="K21" i="18"/>
  <c r="L21" i="18" s="1"/>
  <c r="M21" i="18"/>
  <c r="X21" i="18"/>
  <c r="Y21" i="18" s="1"/>
  <c r="Z21" i="18"/>
  <c r="AA21" i="18"/>
  <c r="AQ21" i="18"/>
  <c r="E22" i="18"/>
  <c r="F22" i="18" s="1"/>
  <c r="H22" i="18"/>
  <c r="J22" i="18"/>
  <c r="K22" i="18"/>
  <c r="L22" i="18" s="1"/>
  <c r="M22" i="18"/>
  <c r="X22" i="18"/>
  <c r="Y22" i="18" s="1"/>
  <c r="Z22" i="18"/>
  <c r="AA22" i="18" s="1"/>
  <c r="AQ22" i="18"/>
  <c r="E23" i="18"/>
  <c r="G23" i="18" s="1"/>
  <c r="T23" i="18" s="1"/>
  <c r="H23" i="18"/>
  <c r="I23" i="18"/>
  <c r="J23" i="18"/>
  <c r="K23" i="18"/>
  <c r="L23" i="18" s="1"/>
  <c r="M23" i="18"/>
  <c r="X23" i="18"/>
  <c r="Y23" i="18" s="1"/>
  <c r="Z23" i="18"/>
  <c r="AA23" i="18" s="1"/>
  <c r="AQ23" i="18"/>
  <c r="E24" i="18"/>
  <c r="H24" i="18"/>
  <c r="J24" i="18"/>
  <c r="K24" i="18"/>
  <c r="L24" i="18" s="1"/>
  <c r="M24" i="18"/>
  <c r="X24" i="18"/>
  <c r="Y24" i="18" s="1"/>
  <c r="Z24" i="18"/>
  <c r="AA24" i="18"/>
  <c r="AQ24" i="18"/>
  <c r="E25" i="18"/>
  <c r="F25" i="18" s="1"/>
  <c r="H25" i="18"/>
  <c r="J25" i="18"/>
  <c r="K25" i="18"/>
  <c r="L25" i="18" s="1"/>
  <c r="M25" i="18"/>
  <c r="X25" i="18"/>
  <c r="Y25" i="18" s="1"/>
  <c r="Z25" i="18"/>
  <c r="AA25" i="18"/>
  <c r="AQ25" i="18"/>
  <c r="E26" i="18"/>
  <c r="F26" i="18"/>
  <c r="H26" i="18"/>
  <c r="J26" i="18"/>
  <c r="K26" i="18"/>
  <c r="L26" i="18" s="1"/>
  <c r="M26" i="18"/>
  <c r="X26" i="18"/>
  <c r="Y26" i="18" s="1"/>
  <c r="Z26" i="18"/>
  <c r="AA26" i="18" s="1"/>
  <c r="AQ26" i="18"/>
  <c r="E27" i="18"/>
  <c r="F27" i="18"/>
  <c r="G27" i="18"/>
  <c r="T27" i="18" s="1"/>
  <c r="H27" i="18"/>
  <c r="I27" i="18" s="1"/>
  <c r="J27" i="18"/>
  <c r="K27" i="18"/>
  <c r="L27" i="18" s="1"/>
  <c r="M27" i="18"/>
  <c r="X27" i="18"/>
  <c r="Y27" i="18" s="1"/>
  <c r="Z27" i="18"/>
  <c r="D53" i="18" s="1"/>
  <c r="AA27" i="18"/>
  <c r="AQ27" i="18"/>
  <c r="E28" i="18"/>
  <c r="H28" i="18"/>
  <c r="J28" i="18"/>
  <c r="K28" i="18"/>
  <c r="L28" i="18" s="1"/>
  <c r="M28" i="18"/>
  <c r="X28" i="18"/>
  <c r="Y28" i="18" s="1"/>
  <c r="Z28" i="18"/>
  <c r="AA28" i="18" s="1"/>
  <c r="AQ28" i="18"/>
  <c r="E7" i="17"/>
  <c r="G7" i="17" s="1"/>
  <c r="T7" i="17" s="1"/>
  <c r="F7" i="17"/>
  <c r="H7" i="17"/>
  <c r="J7" i="17"/>
  <c r="K7" i="17"/>
  <c r="L7" i="17" s="1"/>
  <c r="M7" i="17"/>
  <c r="AN7" i="17"/>
  <c r="E8" i="17"/>
  <c r="G8" i="17" s="1"/>
  <c r="T8" i="17" s="1"/>
  <c r="H8" i="17"/>
  <c r="J8" i="17"/>
  <c r="K8" i="17"/>
  <c r="L8" i="17" s="1"/>
  <c r="M8" i="17"/>
  <c r="AN8" i="17"/>
  <c r="E9" i="17"/>
  <c r="F9" i="17" s="1"/>
  <c r="H9" i="17"/>
  <c r="J9" i="17"/>
  <c r="K9" i="17"/>
  <c r="L9" i="17" s="1"/>
  <c r="M9" i="17"/>
  <c r="AN9" i="17"/>
  <c r="E10" i="17"/>
  <c r="F10" i="17" s="1"/>
  <c r="H10" i="17"/>
  <c r="J10" i="17"/>
  <c r="K10" i="17"/>
  <c r="L10" i="17" s="1"/>
  <c r="M10" i="17"/>
  <c r="AN10" i="17"/>
  <c r="E11" i="17"/>
  <c r="F11" i="17"/>
  <c r="G11" i="17"/>
  <c r="T11" i="17" s="1"/>
  <c r="H11" i="17"/>
  <c r="I11" i="17" s="1"/>
  <c r="J11" i="17"/>
  <c r="K11" i="17"/>
  <c r="L11" i="17" s="1"/>
  <c r="M11" i="17"/>
  <c r="AN11" i="17"/>
  <c r="E12" i="17"/>
  <c r="F12" i="17" s="1"/>
  <c r="H12" i="17"/>
  <c r="J12" i="17"/>
  <c r="K12" i="17"/>
  <c r="L12" i="17" s="1"/>
  <c r="M12" i="17"/>
  <c r="AN12" i="17"/>
  <c r="E13" i="17"/>
  <c r="F13" i="17" s="1"/>
  <c r="H13" i="17"/>
  <c r="J13" i="17"/>
  <c r="K13" i="17"/>
  <c r="L13" i="17" s="1"/>
  <c r="M13" i="17"/>
  <c r="AN13" i="17"/>
  <c r="E14" i="17"/>
  <c r="F14" i="17" s="1"/>
  <c r="H14" i="17"/>
  <c r="J14" i="17"/>
  <c r="K14" i="17"/>
  <c r="L14" i="17" s="1"/>
  <c r="M14" i="17"/>
  <c r="AN14" i="17"/>
  <c r="E15" i="17"/>
  <c r="F15" i="17" s="1"/>
  <c r="H15" i="17"/>
  <c r="J15" i="17"/>
  <c r="K15" i="17"/>
  <c r="L15" i="17" s="1"/>
  <c r="M15" i="17"/>
  <c r="AN15" i="17"/>
  <c r="E16" i="17"/>
  <c r="G16" i="17" s="1"/>
  <c r="T16" i="17" s="1"/>
  <c r="H16" i="17"/>
  <c r="J16" i="17"/>
  <c r="K16" i="17"/>
  <c r="L16" i="17" s="1"/>
  <c r="M16" i="17"/>
  <c r="AN16" i="17"/>
  <c r="E17" i="17"/>
  <c r="F17" i="17"/>
  <c r="G17" i="17"/>
  <c r="T17" i="17" s="1"/>
  <c r="H17" i="17"/>
  <c r="I17" i="17" s="1"/>
  <c r="J17" i="17"/>
  <c r="K17" i="17"/>
  <c r="L17" i="17" s="1"/>
  <c r="M17" i="17"/>
  <c r="AN17" i="17"/>
  <c r="E18" i="17"/>
  <c r="F18" i="17" s="1"/>
  <c r="G18" i="17"/>
  <c r="T18" i="17" s="1"/>
  <c r="H18" i="17"/>
  <c r="I18" i="17" s="1"/>
  <c r="J18" i="17"/>
  <c r="K18" i="17"/>
  <c r="L18" i="17" s="1"/>
  <c r="M18" i="17"/>
  <c r="AN18" i="17"/>
  <c r="E19" i="17"/>
  <c r="F19" i="17" s="1"/>
  <c r="H19" i="17"/>
  <c r="J19" i="17"/>
  <c r="K19" i="17"/>
  <c r="L19" i="17" s="1"/>
  <c r="M19" i="17"/>
  <c r="AN19" i="17"/>
  <c r="E20" i="17"/>
  <c r="F20" i="17"/>
  <c r="G20" i="17"/>
  <c r="T20" i="17" s="1"/>
  <c r="H20" i="17"/>
  <c r="J20" i="17"/>
  <c r="K20" i="17"/>
  <c r="L20" i="17" s="1"/>
  <c r="M20" i="17"/>
  <c r="AN20" i="17"/>
  <c r="E21" i="17"/>
  <c r="F21" i="17" s="1"/>
  <c r="H21" i="17"/>
  <c r="J21" i="17"/>
  <c r="K21" i="17"/>
  <c r="L21" i="17"/>
  <c r="M21" i="17"/>
  <c r="AN21" i="17"/>
  <c r="E22" i="17"/>
  <c r="F22" i="17" s="1"/>
  <c r="H22" i="17"/>
  <c r="J22" i="17"/>
  <c r="K22" i="17"/>
  <c r="L22" i="17" s="1"/>
  <c r="M22" i="17"/>
  <c r="AN22" i="17"/>
  <c r="E23" i="17"/>
  <c r="F23" i="17" s="1"/>
  <c r="H23" i="17"/>
  <c r="J23" i="17"/>
  <c r="K23" i="17"/>
  <c r="L23" i="17" s="1"/>
  <c r="M23" i="17"/>
  <c r="AN23" i="17"/>
  <c r="E24" i="17"/>
  <c r="G24" i="17" s="1"/>
  <c r="T24" i="17" s="1"/>
  <c r="F24" i="17"/>
  <c r="H24" i="17"/>
  <c r="J24" i="17"/>
  <c r="K24" i="17"/>
  <c r="L24" i="17" s="1"/>
  <c r="M24" i="17"/>
  <c r="AN24" i="17"/>
  <c r="E25" i="17"/>
  <c r="F25" i="17" s="1"/>
  <c r="H25" i="17"/>
  <c r="J25" i="17"/>
  <c r="K25" i="17"/>
  <c r="L25" i="17" s="1"/>
  <c r="M25" i="17"/>
  <c r="AN25" i="17"/>
  <c r="E26" i="17"/>
  <c r="F26" i="17" s="1"/>
  <c r="G26" i="17"/>
  <c r="T26" i="17" s="1"/>
  <c r="H26" i="17"/>
  <c r="I26" i="17" s="1"/>
  <c r="J26" i="17"/>
  <c r="K26" i="17"/>
  <c r="L26" i="17" s="1"/>
  <c r="M26" i="17"/>
  <c r="AN26" i="17"/>
  <c r="E27" i="17"/>
  <c r="F27" i="17" s="1"/>
  <c r="H27" i="17"/>
  <c r="J27" i="17"/>
  <c r="K27" i="17"/>
  <c r="L27" i="17" s="1"/>
  <c r="M27" i="17"/>
  <c r="AN27" i="17"/>
  <c r="E28" i="17"/>
  <c r="G28" i="17" s="1"/>
  <c r="T28" i="17" s="1"/>
  <c r="F28" i="17"/>
  <c r="H28" i="17"/>
  <c r="J28" i="17"/>
  <c r="K28" i="17"/>
  <c r="L28" i="17" s="1"/>
  <c r="M28" i="17"/>
  <c r="AN28" i="17"/>
  <c r="M28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7" i="7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7" i="11"/>
  <c r="F55" i="12"/>
  <c r="D51" i="12"/>
  <c r="I45" i="11"/>
  <c r="F43" i="10"/>
  <c r="D9" i="4"/>
  <c r="D39" i="11"/>
  <c r="A38" i="7"/>
  <c r="A39" i="7"/>
  <c r="A40" i="7"/>
  <c r="A41" i="7"/>
  <c r="A43" i="7"/>
  <c r="A44" i="7"/>
  <c r="A49" i="10"/>
  <c r="D6" i="4"/>
  <c r="D5" i="4"/>
  <c r="X28" i="10"/>
  <c r="Y28" i="10" s="1"/>
  <c r="AP8" i="10"/>
  <c r="AP9" i="10"/>
  <c r="AP10" i="10"/>
  <c r="AP11" i="10"/>
  <c r="AP12" i="10"/>
  <c r="AP13" i="10"/>
  <c r="F38" i="10" s="1"/>
  <c r="AP14" i="10"/>
  <c r="AP15" i="10"/>
  <c r="AP16" i="10"/>
  <c r="AP17" i="10"/>
  <c r="AP18" i="10"/>
  <c r="AP19" i="10"/>
  <c r="AP20" i="10"/>
  <c r="AP21" i="10"/>
  <c r="AP22" i="10"/>
  <c r="AP23" i="10"/>
  <c r="AP24" i="10"/>
  <c r="AP25" i="10"/>
  <c r="AP26" i="10"/>
  <c r="AP27" i="10"/>
  <c r="AP28" i="10"/>
  <c r="AP7" i="10"/>
  <c r="C24" i="1"/>
  <c r="Y16" i="10"/>
  <c r="AM16" i="10" s="1"/>
  <c r="Y19" i="10"/>
  <c r="AM19" i="10" s="1"/>
  <c r="D44" i="10" s="1"/>
  <c r="Y20" i="10"/>
  <c r="AM20" i="10" s="1"/>
  <c r="Y24" i="10"/>
  <c r="Y25" i="10"/>
  <c r="Y26" i="10"/>
  <c r="Y27" i="10"/>
  <c r="X8" i="10"/>
  <c r="Y8" i="10" s="1"/>
  <c r="X9" i="10"/>
  <c r="Y9" i="10" s="1"/>
  <c r="X10" i="10"/>
  <c r="Y10" i="10" s="1"/>
  <c r="X11" i="10"/>
  <c r="Y11" i="10" s="1"/>
  <c r="X12" i="10"/>
  <c r="Y12" i="10" s="1"/>
  <c r="X13" i="10"/>
  <c r="Y13" i="10" s="1"/>
  <c r="X14" i="10"/>
  <c r="Y14" i="10" s="1"/>
  <c r="X15" i="10"/>
  <c r="Y15" i="10" s="1"/>
  <c r="X16" i="10"/>
  <c r="X17" i="10"/>
  <c r="Y17" i="10" s="1"/>
  <c r="X18" i="10"/>
  <c r="Y18" i="10" s="1"/>
  <c r="AM18" i="10" s="1"/>
  <c r="D43" i="10" s="1"/>
  <c r="X19" i="10"/>
  <c r="X20" i="10"/>
  <c r="X21" i="10"/>
  <c r="Y21" i="10" s="1"/>
  <c r="AM21" i="10" s="1"/>
  <c r="X22" i="10"/>
  <c r="Y22" i="10" s="1"/>
  <c r="AM22" i="10" s="1"/>
  <c r="D47" i="10" s="1"/>
  <c r="X23" i="10"/>
  <c r="Y23" i="10" s="1"/>
  <c r="X24" i="10"/>
  <c r="X25" i="10"/>
  <c r="X26" i="10"/>
  <c r="X27" i="10"/>
  <c r="X7" i="10"/>
  <c r="Y7" i="10" s="1"/>
  <c r="AA23" i="10"/>
  <c r="Z28" i="10"/>
  <c r="AA28" i="10" s="1"/>
  <c r="Z8" i="10"/>
  <c r="AA8" i="10" s="1"/>
  <c r="Z9" i="10"/>
  <c r="AA9" i="10" s="1"/>
  <c r="Z10" i="10"/>
  <c r="AA10" i="10" s="1"/>
  <c r="Z11" i="10"/>
  <c r="AA11" i="10" s="1"/>
  <c r="Z12" i="10"/>
  <c r="AA12" i="10" s="1"/>
  <c r="Z13" i="10"/>
  <c r="AA13" i="10" s="1"/>
  <c r="Z14" i="10"/>
  <c r="AA14" i="10" s="1"/>
  <c r="Z15" i="10"/>
  <c r="AA15" i="10" s="1"/>
  <c r="Z16" i="10"/>
  <c r="AA16" i="10" s="1"/>
  <c r="Z17" i="10"/>
  <c r="AA17" i="10" s="1"/>
  <c r="Z18" i="10"/>
  <c r="AA18" i="10" s="1"/>
  <c r="Z19" i="10"/>
  <c r="AA19" i="10" s="1"/>
  <c r="Z20" i="10"/>
  <c r="AA20" i="10" s="1"/>
  <c r="Z21" i="10"/>
  <c r="AA21" i="10" s="1"/>
  <c r="Z22" i="10"/>
  <c r="AA22" i="10" s="1"/>
  <c r="Z23" i="10"/>
  <c r="Z24" i="10"/>
  <c r="AA24" i="10" s="1"/>
  <c r="Z25" i="10"/>
  <c r="AA25" i="10" s="1"/>
  <c r="Z26" i="10"/>
  <c r="AA26" i="10" s="1"/>
  <c r="Z27" i="10"/>
  <c r="AA27" i="10" s="1"/>
  <c r="Z7" i="10"/>
  <c r="AA7" i="10" s="1"/>
  <c r="AN12" i="12"/>
  <c r="AA32" i="7"/>
  <c r="X8" i="12"/>
  <c r="Y8" i="12" s="1"/>
  <c r="AK8" i="12" s="1"/>
  <c r="X9" i="12"/>
  <c r="Y9" i="12" s="1"/>
  <c r="AK9" i="12" s="1"/>
  <c r="D36" i="12" s="1"/>
  <c r="X10" i="12"/>
  <c r="Y10" i="12" s="1"/>
  <c r="AK10" i="12" s="1"/>
  <c r="D37" i="12" s="1"/>
  <c r="X11" i="12"/>
  <c r="Y11" i="12" s="1"/>
  <c r="AK11" i="12" s="1"/>
  <c r="X12" i="12"/>
  <c r="Y12" i="12" s="1"/>
  <c r="AK12" i="12" s="1"/>
  <c r="D39" i="12" s="1"/>
  <c r="X13" i="12"/>
  <c r="Y13" i="12" s="1"/>
  <c r="AK13" i="12" s="1"/>
  <c r="D40" i="12" s="1"/>
  <c r="X14" i="12"/>
  <c r="Y14" i="12" s="1"/>
  <c r="AK14" i="12" s="1"/>
  <c r="X15" i="12"/>
  <c r="Y15" i="12" s="1"/>
  <c r="AK15" i="12" s="1"/>
  <c r="X16" i="12"/>
  <c r="Y16" i="12" s="1"/>
  <c r="AK16" i="12" s="1"/>
  <c r="X17" i="12"/>
  <c r="Y17" i="12" s="1"/>
  <c r="AK17" i="12" s="1"/>
  <c r="X18" i="12"/>
  <c r="Y18" i="12" s="1"/>
  <c r="AK18" i="12" s="1"/>
  <c r="X19" i="12"/>
  <c r="Y19" i="12" s="1"/>
  <c r="AK19" i="12" s="1"/>
  <c r="X20" i="12"/>
  <c r="Y20" i="12" s="1"/>
  <c r="AK20" i="12" s="1"/>
  <c r="X21" i="12"/>
  <c r="Y21" i="12" s="1"/>
  <c r="AK21" i="12" s="1"/>
  <c r="X22" i="12"/>
  <c r="Y22" i="12" s="1"/>
  <c r="AK22" i="12" s="1"/>
  <c r="X23" i="12"/>
  <c r="Y23" i="12" s="1"/>
  <c r="AK23" i="12" s="1"/>
  <c r="X24" i="12"/>
  <c r="Y24" i="12" s="1"/>
  <c r="AK24" i="12" s="1"/>
  <c r="X25" i="12"/>
  <c r="Y25" i="12" s="1"/>
  <c r="AK25" i="12" s="1"/>
  <c r="X26" i="12"/>
  <c r="Y26" i="12" s="1"/>
  <c r="AK26" i="12" s="1"/>
  <c r="X27" i="12"/>
  <c r="Y27" i="12" s="1"/>
  <c r="AK27" i="12" s="1"/>
  <c r="X28" i="12"/>
  <c r="Y28" i="12" s="1"/>
  <c r="AK28" i="12" s="1"/>
  <c r="D55" i="12" s="1"/>
  <c r="X7" i="12"/>
  <c r="Y7" i="12" s="1"/>
  <c r="AK7" i="12" s="1"/>
  <c r="AJ15" i="7"/>
  <c r="AM10" i="7"/>
  <c r="C18" i="1"/>
  <c r="Z7" i="11"/>
  <c r="AA7" i="11" s="1"/>
  <c r="Z8" i="11"/>
  <c r="AA8" i="11" s="1"/>
  <c r="Z9" i="11"/>
  <c r="AA9" i="11" s="1"/>
  <c r="Z10" i="11"/>
  <c r="AA10" i="11" s="1"/>
  <c r="Z11" i="11"/>
  <c r="AA11" i="11" s="1"/>
  <c r="Z12" i="11"/>
  <c r="AA12" i="11" s="1"/>
  <c r="Z13" i="11"/>
  <c r="AA13" i="11" s="1"/>
  <c r="Z14" i="11"/>
  <c r="AA14" i="11" s="1"/>
  <c r="Z15" i="11"/>
  <c r="Z16" i="11"/>
  <c r="AA16" i="11" s="1"/>
  <c r="Z17" i="11"/>
  <c r="AA17" i="11" s="1"/>
  <c r="Z18" i="11"/>
  <c r="AA18" i="11" s="1"/>
  <c r="Z19" i="11"/>
  <c r="Z20" i="11"/>
  <c r="AA20" i="11" s="1"/>
  <c r="Z21" i="11"/>
  <c r="AA21" i="11" s="1"/>
  <c r="Z22" i="11"/>
  <c r="AA22" i="11" s="1"/>
  <c r="Z23" i="11"/>
  <c r="Z24" i="11"/>
  <c r="AA24" i="11" s="1"/>
  <c r="Z25" i="11"/>
  <c r="AA25" i="11" s="1"/>
  <c r="Z26" i="11"/>
  <c r="AA26" i="11" s="1"/>
  <c r="Z27" i="11"/>
  <c r="AA27" i="11" s="1"/>
  <c r="Z28" i="11"/>
  <c r="AA28" i="11" s="1"/>
  <c r="X8" i="11"/>
  <c r="Y8" i="11" s="1"/>
  <c r="X9" i="11"/>
  <c r="Y9" i="11" s="1"/>
  <c r="X10" i="11"/>
  <c r="Y10" i="11" s="1"/>
  <c r="X11" i="11"/>
  <c r="Y11" i="11" s="1"/>
  <c r="X12" i="11"/>
  <c r="Y12" i="11" s="1"/>
  <c r="X13" i="11"/>
  <c r="Y13" i="11" s="1"/>
  <c r="X14" i="11"/>
  <c r="Y14" i="11" s="1"/>
  <c r="X15" i="11"/>
  <c r="Y15" i="11" s="1"/>
  <c r="X16" i="11"/>
  <c r="X17" i="11"/>
  <c r="X18" i="11"/>
  <c r="Y18" i="11" s="1"/>
  <c r="X19" i="11"/>
  <c r="X20" i="11"/>
  <c r="X21" i="11"/>
  <c r="X22" i="11"/>
  <c r="Y22" i="11" s="1"/>
  <c r="X23" i="11"/>
  <c r="Y23" i="11" s="1"/>
  <c r="X24" i="11"/>
  <c r="Y24" i="11" s="1"/>
  <c r="X25" i="11"/>
  <c r="Y25" i="11" s="1"/>
  <c r="X26" i="11"/>
  <c r="Y26" i="11" s="1"/>
  <c r="X27" i="11"/>
  <c r="Y27" i="11" s="1"/>
  <c r="X28" i="11"/>
  <c r="Y28" i="11" s="1"/>
  <c r="X7" i="11"/>
  <c r="Y7" i="11" s="1"/>
  <c r="E7" i="12"/>
  <c r="F34" i="12" s="1"/>
  <c r="F7" i="12"/>
  <c r="H7" i="12"/>
  <c r="J7" i="12"/>
  <c r="K7" i="12"/>
  <c r="L7" i="12" s="1"/>
  <c r="AN7" i="12"/>
  <c r="E8" i="12"/>
  <c r="H8" i="12"/>
  <c r="J8" i="12"/>
  <c r="K8" i="12"/>
  <c r="L8" i="12" s="1"/>
  <c r="P8" i="12" s="1"/>
  <c r="AN8" i="12"/>
  <c r="E9" i="12"/>
  <c r="F9" i="12" s="1"/>
  <c r="H9" i="12"/>
  <c r="J9" i="12"/>
  <c r="K9" i="12"/>
  <c r="L9" i="12" s="1"/>
  <c r="P9" i="12" s="1"/>
  <c r="AN9" i="12"/>
  <c r="E10" i="12"/>
  <c r="G10" i="12"/>
  <c r="T10" i="12" s="1"/>
  <c r="H10" i="12"/>
  <c r="I10" i="12" s="1"/>
  <c r="J10" i="12"/>
  <c r="K10" i="12"/>
  <c r="L10" i="12" s="1"/>
  <c r="P10" i="12" s="1"/>
  <c r="AN10" i="12"/>
  <c r="F37" i="12" s="1"/>
  <c r="E11" i="12"/>
  <c r="A38" i="12" s="1"/>
  <c r="F11" i="12"/>
  <c r="G11" i="12"/>
  <c r="T11" i="12" s="1"/>
  <c r="H11" i="12"/>
  <c r="J11" i="12"/>
  <c r="K11" i="12"/>
  <c r="L11" i="12" s="1"/>
  <c r="P11" i="12" s="1"/>
  <c r="AN11" i="12"/>
  <c r="E12" i="12"/>
  <c r="H12" i="12"/>
  <c r="J12" i="12"/>
  <c r="K12" i="12"/>
  <c r="L12" i="12" s="1"/>
  <c r="P12" i="12" s="1"/>
  <c r="E13" i="12"/>
  <c r="H13" i="12"/>
  <c r="J13" i="12"/>
  <c r="K13" i="12"/>
  <c r="L13" i="12" s="1"/>
  <c r="P13" i="12" s="1"/>
  <c r="AN13" i="12"/>
  <c r="E14" i="12"/>
  <c r="H14" i="12"/>
  <c r="I14" i="12" s="1"/>
  <c r="J14" i="12"/>
  <c r="K14" i="12"/>
  <c r="L14" i="12" s="1"/>
  <c r="P14" i="12" s="1"/>
  <c r="AN14" i="12"/>
  <c r="E15" i="12"/>
  <c r="G15" i="12"/>
  <c r="T15" i="12" s="1"/>
  <c r="H15" i="12"/>
  <c r="I15" i="12" s="1"/>
  <c r="J15" i="12"/>
  <c r="K15" i="12"/>
  <c r="L15" i="12" s="1"/>
  <c r="P15" i="12" s="1"/>
  <c r="AN15" i="12"/>
  <c r="E16" i="12"/>
  <c r="H16" i="12"/>
  <c r="J16" i="12"/>
  <c r="K16" i="12"/>
  <c r="L16" i="12" s="1"/>
  <c r="P16" i="12" s="1"/>
  <c r="AN16" i="12"/>
  <c r="E17" i="12"/>
  <c r="F17" i="12"/>
  <c r="H17" i="12"/>
  <c r="J17" i="12"/>
  <c r="K17" i="12"/>
  <c r="L17" i="12" s="1"/>
  <c r="P17" i="12" s="1"/>
  <c r="AN17" i="12"/>
  <c r="E18" i="12"/>
  <c r="H18" i="12"/>
  <c r="J18" i="12"/>
  <c r="K18" i="12"/>
  <c r="L18" i="12" s="1"/>
  <c r="P18" i="12" s="1"/>
  <c r="AN18" i="12"/>
  <c r="E19" i="12"/>
  <c r="H19" i="12"/>
  <c r="I19" i="12" s="1"/>
  <c r="J19" i="12"/>
  <c r="K19" i="12"/>
  <c r="L19" i="12" s="1"/>
  <c r="P19" i="12" s="1"/>
  <c r="AN19" i="12"/>
  <c r="E20" i="12"/>
  <c r="H20" i="12"/>
  <c r="J20" i="12"/>
  <c r="K20" i="12"/>
  <c r="L20" i="12" s="1"/>
  <c r="P20" i="12" s="1"/>
  <c r="AN20" i="12"/>
  <c r="E21" i="12"/>
  <c r="H21" i="12"/>
  <c r="J21" i="12"/>
  <c r="K21" i="12"/>
  <c r="L21" i="12" s="1"/>
  <c r="P21" i="12" s="1"/>
  <c r="AN21" i="12"/>
  <c r="E22" i="12"/>
  <c r="A49" i="12" s="1"/>
  <c r="F22" i="12"/>
  <c r="G22" i="12"/>
  <c r="T22" i="12" s="1"/>
  <c r="H22" i="12"/>
  <c r="I22" i="12" s="1"/>
  <c r="J22" i="12"/>
  <c r="K22" i="12"/>
  <c r="L22" i="12" s="1"/>
  <c r="P22" i="12" s="1"/>
  <c r="AN22" i="12"/>
  <c r="E23" i="12"/>
  <c r="D50" i="12" s="1"/>
  <c r="F23" i="12"/>
  <c r="H23" i="12"/>
  <c r="J23" i="12"/>
  <c r="K23" i="12"/>
  <c r="L23" i="12" s="1"/>
  <c r="P23" i="12" s="1"/>
  <c r="AN23" i="12"/>
  <c r="E24" i="12"/>
  <c r="H24" i="12"/>
  <c r="J24" i="12"/>
  <c r="K24" i="12"/>
  <c r="L24" i="12" s="1"/>
  <c r="P24" i="12" s="1"/>
  <c r="AN24" i="12"/>
  <c r="E25" i="12"/>
  <c r="F25" i="12"/>
  <c r="H25" i="12"/>
  <c r="J25" i="12"/>
  <c r="K25" i="12"/>
  <c r="L25" i="12" s="1"/>
  <c r="P25" i="12" s="1"/>
  <c r="AN25" i="12"/>
  <c r="E26" i="12"/>
  <c r="D53" i="12" s="1"/>
  <c r="H26" i="12"/>
  <c r="J26" i="12"/>
  <c r="K26" i="12"/>
  <c r="L26" i="12" s="1"/>
  <c r="P26" i="12" s="1"/>
  <c r="AN26" i="12"/>
  <c r="E27" i="12"/>
  <c r="A54" i="12" s="1"/>
  <c r="F27" i="12"/>
  <c r="G27" i="12"/>
  <c r="T27" i="12" s="1"/>
  <c r="H27" i="12"/>
  <c r="I27" i="12" s="1"/>
  <c r="J27" i="12"/>
  <c r="K27" i="12"/>
  <c r="L27" i="12" s="1"/>
  <c r="P27" i="12" s="1"/>
  <c r="AN27" i="12"/>
  <c r="E28" i="12"/>
  <c r="F28" i="12"/>
  <c r="G28" i="12"/>
  <c r="T28" i="12" s="1"/>
  <c r="H28" i="12"/>
  <c r="J28" i="12"/>
  <c r="K28" i="12"/>
  <c r="L28" i="12" s="1"/>
  <c r="P28" i="12" s="1"/>
  <c r="AN28" i="12"/>
  <c r="E7" i="11"/>
  <c r="H7" i="11"/>
  <c r="J7" i="11"/>
  <c r="K7" i="11"/>
  <c r="L7" i="11" s="1"/>
  <c r="AP7" i="11"/>
  <c r="E8" i="11"/>
  <c r="F8" i="11"/>
  <c r="G8" i="11"/>
  <c r="T8" i="11" s="1"/>
  <c r="H8" i="11"/>
  <c r="J8" i="11"/>
  <c r="K8" i="11"/>
  <c r="L8" i="11" s="1"/>
  <c r="AP8" i="11"/>
  <c r="E9" i="11"/>
  <c r="F9" i="11" s="1"/>
  <c r="H9" i="11"/>
  <c r="J9" i="11"/>
  <c r="K9" i="11"/>
  <c r="L9" i="11" s="1"/>
  <c r="AP9" i="11"/>
  <c r="E10" i="11"/>
  <c r="F10" i="11" s="1"/>
  <c r="H10" i="11"/>
  <c r="J10" i="11"/>
  <c r="K10" i="11"/>
  <c r="L10" i="11" s="1"/>
  <c r="AP10" i="11"/>
  <c r="E11" i="11"/>
  <c r="H11" i="11"/>
  <c r="J11" i="11"/>
  <c r="K11" i="11"/>
  <c r="L11" i="11" s="1"/>
  <c r="AP11" i="11"/>
  <c r="I37" i="11" s="1"/>
  <c r="E12" i="11"/>
  <c r="H12" i="11"/>
  <c r="J12" i="11"/>
  <c r="K12" i="11"/>
  <c r="L12" i="11" s="1"/>
  <c r="AP12" i="11"/>
  <c r="E13" i="11"/>
  <c r="G13" i="11" s="1"/>
  <c r="T13" i="11" s="1"/>
  <c r="H13" i="11"/>
  <c r="J13" i="11"/>
  <c r="K13" i="11"/>
  <c r="L13" i="11" s="1"/>
  <c r="AP13" i="11"/>
  <c r="E14" i="11"/>
  <c r="F14" i="11"/>
  <c r="G14" i="11"/>
  <c r="T14" i="11" s="1"/>
  <c r="H14" i="11"/>
  <c r="J14" i="11"/>
  <c r="K14" i="11"/>
  <c r="L14" i="11" s="1"/>
  <c r="AP14" i="11"/>
  <c r="E15" i="11"/>
  <c r="F15" i="11" s="1"/>
  <c r="G15" i="11"/>
  <c r="T15" i="11" s="1"/>
  <c r="H15" i="11"/>
  <c r="I15" i="11" s="1"/>
  <c r="J15" i="11"/>
  <c r="K15" i="11"/>
  <c r="L15" i="11" s="1"/>
  <c r="AP15" i="11"/>
  <c r="I41" i="11" s="1"/>
  <c r="E16" i="11"/>
  <c r="G16" i="11" s="1"/>
  <c r="T16" i="11" s="1"/>
  <c r="H16" i="11"/>
  <c r="J16" i="11"/>
  <c r="K16" i="11"/>
  <c r="L16" i="11" s="1"/>
  <c r="AP16" i="11"/>
  <c r="E17" i="11"/>
  <c r="F17" i="11" s="1"/>
  <c r="H17" i="11"/>
  <c r="J17" i="11"/>
  <c r="K17" i="11"/>
  <c r="L17" i="11" s="1"/>
  <c r="Y17" i="11"/>
  <c r="AP17" i="11"/>
  <c r="E18" i="11"/>
  <c r="H18" i="11"/>
  <c r="J18" i="11"/>
  <c r="K18" i="11"/>
  <c r="L18" i="11" s="1"/>
  <c r="AP18" i="11"/>
  <c r="E19" i="11"/>
  <c r="G19" i="11" s="1"/>
  <c r="T19" i="11" s="1"/>
  <c r="H19" i="11"/>
  <c r="J19" i="11"/>
  <c r="K19" i="11"/>
  <c r="L19" i="11" s="1"/>
  <c r="AP19" i="11"/>
  <c r="E20" i="11"/>
  <c r="F20" i="11" s="1"/>
  <c r="H20" i="11"/>
  <c r="J20" i="11"/>
  <c r="K20" i="11"/>
  <c r="L20" i="11" s="1"/>
  <c r="AP20" i="11"/>
  <c r="E21" i="11"/>
  <c r="F21" i="11" s="1"/>
  <c r="H21" i="11"/>
  <c r="J21" i="11"/>
  <c r="K21" i="11"/>
  <c r="L21" i="11" s="1"/>
  <c r="AP21" i="11"/>
  <c r="E22" i="11"/>
  <c r="F22" i="11"/>
  <c r="H22" i="11"/>
  <c r="J22" i="11"/>
  <c r="K22" i="11"/>
  <c r="L22" i="11" s="1"/>
  <c r="AP22" i="11"/>
  <c r="E23" i="11"/>
  <c r="H23" i="11"/>
  <c r="J23" i="11"/>
  <c r="K23" i="11"/>
  <c r="L23" i="11" s="1"/>
  <c r="AP23" i="11"/>
  <c r="E24" i="11"/>
  <c r="D50" i="11" s="1"/>
  <c r="H24" i="11"/>
  <c r="J24" i="11"/>
  <c r="K24" i="11"/>
  <c r="L24" i="11" s="1"/>
  <c r="AP24" i="11"/>
  <c r="E25" i="11"/>
  <c r="H25" i="11"/>
  <c r="J25" i="11"/>
  <c r="K25" i="11"/>
  <c r="L25" i="11" s="1"/>
  <c r="AP25" i="11"/>
  <c r="E26" i="11"/>
  <c r="H26" i="11"/>
  <c r="J26" i="11"/>
  <c r="K26" i="11"/>
  <c r="L26" i="11" s="1"/>
  <c r="AP26" i="11"/>
  <c r="E27" i="11"/>
  <c r="G27" i="11" s="1"/>
  <c r="T27" i="11" s="1"/>
  <c r="F27" i="11"/>
  <c r="H27" i="11"/>
  <c r="J27" i="11"/>
  <c r="K27" i="11"/>
  <c r="L27" i="11" s="1"/>
  <c r="AP27" i="11"/>
  <c r="E28" i="11"/>
  <c r="F28" i="11"/>
  <c r="G28" i="11"/>
  <c r="T28" i="11" s="1"/>
  <c r="H28" i="11"/>
  <c r="J28" i="11"/>
  <c r="K28" i="11"/>
  <c r="L28" i="11" s="1"/>
  <c r="AP28" i="11"/>
  <c r="AJ26" i="7"/>
  <c r="X8" i="7"/>
  <c r="X9" i="7"/>
  <c r="X10" i="7"/>
  <c r="X11" i="7"/>
  <c r="AJ11" i="7" s="1"/>
  <c r="X12" i="7"/>
  <c r="AJ12" i="7" s="1"/>
  <c r="X13" i="7"/>
  <c r="AJ13" i="7" s="1"/>
  <c r="X14" i="7"/>
  <c r="X15" i="7"/>
  <c r="X16" i="7"/>
  <c r="X17" i="7"/>
  <c r="X18" i="7"/>
  <c r="X19" i="7"/>
  <c r="X20" i="7"/>
  <c r="X21" i="7"/>
  <c r="X22" i="7"/>
  <c r="AJ22" i="7" s="1"/>
  <c r="X23" i="7"/>
  <c r="X24" i="7"/>
  <c r="AJ24" i="7" s="1"/>
  <c r="X25" i="7"/>
  <c r="X26" i="7"/>
  <c r="X27" i="7"/>
  <c r="AJ27" i="7" s="1"/>
  <c r="X28" i="7"/>
  <c r="AJ28" i="7" s="1"/>
  <c r="X7" i="7"/>
  <c r="AM7" i="7"/>
  <c r="AM8" i="7"/>
  <c r="AM9" i="7"/>
  <c r="F33" i="7" s="1"/>
  <c r="AM11" i="7"/>
  <c r="F35" i="7" s="1"/>
  <c r="AM12" i="7"/>
  <c r="AM13" i="7"/>
  <c r="AN13" i="7" s="1"/>
  <c r="AM14" i="7"/>
  <c r="AM15" i="7"/>
  <c r="AM16" i="7"/>
  <c r="AM17" i="7"/>
  <c r="AM18" i="7"/>
  <c r="AM19" i="7"/>
  <c r="AM20" i="7"/>
  <c r="AM21" i="7"/>
  <c r="AM22" i="7"/>
  <c r="AN22" i="7" s="1"/>
  <c r="AM24" i="7"/>
  <c r="AN24" i="7" s="1"/>
  <c r="AM25" i="7"/>
  <c r="AM26" i="7"/>
  <c r="AM27" i="7"/>
  <c r="AM28" i="7"/>
  <c r="AM23" i="7"/>
  <c r="AJ23" i="7"/>
  <c r="K28" i="10"/>
  <c r="L28" i="10" s="1"/>
  <c r="R28" i="10" s="1"/>
  <c r="J28" i="10"/>
  <c r="H28" i="10"/>
  <c r="E28" i="10"/>
  <c r="G28" i="10" s="1"/>
  <c r="T28" i="10" s="1"/>
  <c r="K27" i="10"/>
  <c r="L27" i="10" s="1"/>
  <c r="R27" i="10" s="1"/>
  <c r="J27" i="10"/>
  <c r="H27" i="10"/>
  <c r="E27" i="10"/>
  <c r="G27" i="10" s="1"/>
  <c r="T27" i="10" s="1"/>
  <c r="K26" i="10"/>
  <c r="L26" i="10" s="1"/>
  <c r="R26" i="10" s="1"/>
  <c r="J26" i="10"/>
  <c r="H26" i="10"/>
  <c r="E26" i="10"/>
  <c r="G26" i="10" s="1"/>
  <c r="T26" i="10" s="1"/>
  <c r="K25" i="10"/>
  <c r="L25" i="10" s="1"/>
  <c r="R25" i="10" s="1"/>
  <c r="J25" i="10"/>
  <c r="H25" i="10"/>
  <c r="E25" i="10"/>
  <c r="K24" i="10"/>
  <c r="L24" i="10" s="1"/>
  <c r="R24" i="10" s="1"/>
  <c r="J24" i="10"/>
  <c r="H24" i="10"/>
  <c r="E24" i="10"/>
  <c r="F24" i="10" s="1"/>
  <c r="K23" i="10"/>
  <c r="L23" i="10" s="1"/>
  <c r="R23" i="10" s="1"/>
  <c r="J23" i="10"/>
  <c r="H23" i="10"/>
  <c r="E23" i="10"/>
  <c r="G23" i="10" s="1"/>
  <c r="T23" i="10" s="1"/>
  <c r="K22" i="10"/>
  <c r="L22" i="10" s="1"/>
  <c r="R22" i="10" s="1"/>
  <c r="J22" i="10"/>
  <c r="H22" i="10"/>
  <c r="E22" i="10"/>
  <c r="G22" i="10" s="1"/>
  <c r="T22" i="10" s="1"/>
  <c r="K21" i="10"/>
  <c r="L21" i="10" s="1"/>
  <c r="R21" i="10" s="1"/>
  <c r="J21" i="10"/>
  <c r="H21" i="10"/>
  <c r="E21" i="10"/>
  <c r="F21" i="10" s="1"/>
  <c r="K20" i="10"/>
  <c r="L20" i="10" s="1"/>
  <c r="R20" i="10" s="1"/>
  <c r="J20" i="10"/>
  <c r="H20" i="10"/>
  <c r="E20" i="10"/>
  <c r="G20" i="10" s="1"/>
  <c r="T20" i="10" s="1"/>
  <c r="K19" i="10"/>
  <c r="L19" i="10" s="1"/>
  <c r="R19" i="10" s="1"/>
  <c r="J19" i="10"/>
  <c r="H19" i="10"/>
  <c r="E19" i="10"/>
  <c r="A44" i="10" s="1"/>
  <c r="K18" i="10"/>
  <c r="L18" i="10" s="1"/>
  <c r="R18" i="10" s="1"/>
  <c r="J18" i="10"/>
  <c r="H18" i="10"/>
  <c r="E18" i="10"/>
  <c r="F18" i="10" s="1"/>
  <c r="K17" i="10"/>
  <c r="L17" i="10" s="1"/>
  <c r="R17" i="10" s="1"/>
  <c r="J17" i="10"/>
  <c r="H17" i="10"/>
  <c r="E17" i="10"/>
  <c r="G17" i="10" s="1"/>
  <c r="T17" i="10" s="1"/>
  <c r="K16" i="10"/>
  <c r="L16" i="10" s="1"/>
  <c r="R16" i="10" s="1"/>
  <c r="J16" i="10"/>
  <c r="H16" i="10"/>
  <c r="E16" i="10"/>
  <c r="F41" i="10" s="1"/>
  <c r="K15" i="10"/>
  <c r="L15" i="10" s="1"/>
  <c r="R15" i="10" s="1"/>
  <c r="J15" i="10"/>
  <c r="H15" i="10"/>
  <c r="E15" i="10"/>
  <c r="K14" i="10"/>
  <c r="L14" i="10" s="1"/>
  <c r="R14" i="10" s="1"/>
  <c r="J14" i="10"/>
  <c r="H14" i="10"/>
  <c r="E14" i="10"/>
  <c r="G14" i="10" s="1"/>
  <c r="T14" i="10" s="1"/>
  <c r="K13" i="10"/>
  <c r="L13" i="10" s="1"/>
  <c r="R13" i="10" s="1"/>
  <c r="J13" i="10"/>
  <c r="H13" i="10"/>
  <c r="E13" i="10"/>
  <c r="A38" i="10" s="1"/>
  <c r="K12" i="10"/>
  <c r="L12" i="10" s="1"/>
  <c r="R12" i="10" s="1"/>
  <c r="J12" i="10"/>
  <c r="H12" i="10"/>
  <c r="E12" i="10"/>
  <c r="A37" i="10" s="1"/>
  <c r="K11" i="10"/>
  <c r="L11" i="10" s="1"/>
  <c r="R11" i="10" s="1"/>
  <c r="J11" i="10"/>
  <c r="H11" i="10"/>
  <c r="E11" i="10"/>
  <c r="K10" i="10"/>
  <c r="L10" i="10" s="1"/>
  <c r="R10" i="10" s="1"/>
  <c r="J10" i="10"/>
  <c r="H10" i="10"/>
  <c r="E10" i="10"/>
  <c r="G10" i="10" s="1"/>
  <c r="T10" i="10" s="1"/>
  <c r="K9" i="10"/>
  <c r="L9" i="10" s="1"/>
  <c r="R9" i="10" s="1"/>
  <c r="J9" i="10"/>
  <c r="H9" i="10"/>
  <c r="E9" i="10"/>
  <c r="F9" i="10" s="1"/>
  <c r="K8" i="10"/>
  <c r="L8" i="10" s="1"/>
  <c r="R8" i="10" s="1"/>
  <c r="J8" i="10"/>
  <c r="H8" i="10"/>
  <c r="E8" i="10"/>
  <c r="K7" i="10"/>
  <c r="L7" i="10" s="1"/>
  <c r="R7" i="10" s="1"/>
  <c r="J7" i="10"/>
  <c r="H7" i="10"/>
  <c r="E7" i="10"/>
  <c r="F7" i="10" s="1"/>
  <c r="E28" i="7"/>
  <c r="A52" i="7" s="1"/>
  <c r="E27" i="7"/>
  <c r="A51" i="7" s="1"/>
  <c r="E26" i="7"/>
  <c r="A50" i="7" s="1"/>
  <c r="E25" i="7"/>
  <c r="A49" i="7" s="1"/>
  <c r="E24" i="7"/>
  <c r="A48" i="7" s="1"/>
  <c r="E23" i="7"/>
  <c r="A47" i="7" s="1"/>
  <c r="E22" i="7"/>
  <c r="A46" i="7" s="1"/>
  <c r="E21" i="7"/>
  <c r="A45" i="7" s="1"/>
  <c r="E13" i="7"/>
  <c r="E14" i="7"/>
  <c r="E15" i="7"/>
  <c r="E16" i="7"/>
  <c r="E17" i="7"/>
  <c r="E18" i="7"/>
  <c r="A42" i="7" s="1"/>
  <c r="E19" i="7"/>
  <c r="E20" i="7"/>
  <c r="E11" i="7"/>
  <c r="A35" i="7" s="1"/>
  <c r="E8" i="7"/>
  <c r="A32" i="7" s="1"/>
  <c r="E9" i="7"/>
  <c r="A33" i="7" s="1"/>
  <c r="E7" i="7"/>
  <c r="A31" i="7" s="1"/>
  <c r="AJ25" i="7"/>
  <c r="AN25" i="7" s="1"/>
  <c r="K7" i="7"/>
  <c r="R29" i="10" l="1"/>
  <c r="L10" i="19"/>
  <c r="P10" i="19" s="1"/>
  <c r="P21" i="11"/>
  <c r="R21" i="11"/>
  <c r="P25" i="18"/>
  <c r="R25" i="18"/>
  <c r="R24" i="11"/>
  <c r="P24" i="11"/>
  <c r="R13" i="11"/>
  <c r="P13" i="11"/>
  <c r="P15" i="18"/>
  <c r="R15" i="18"/>
  <c r="R11" i="18"/>
  <c r="P11" i="18"/>
  <c r="P28" i="11"/>
  <c r="R28" i="11"/>
  <c r="P17" i="11"/>
  <c r="R17" i="11"/>
  <c r="P8" i="11"/>
  <c r="R8" i="11"/>
  <c r="R20" i="18"/>
  <c r="P20" i="18"/>
  <c r="L19" i="19"/>
  <c r="P19" i="19" s="1"/>
  <c r="L12" i="19"/>
  <c r="P12" i="19" s="1"/>
  <c r="P26" i="11"/>
  <c r="R26" i="11"/>
  <c r="P19" i="11"/>
  <c r="R19" i="11"/>
  <c r="R24" i="18"/>
  <c r="P24" i="18"/>
  <c r="P12" i="18"/>
  <c r="R12" i="18"/>
  <c r="R7" i="18"/>
  <c r="P7" i="18"/>
  <c r="L22" i="19"/>
  <c r="P22" i="19" s="1"/>
  <c r="R10" i="11"/>
  <c r="P10" i="11"/>
  <c r="R21" i="18"/>
  <c r="P21" i="18"/>
  <c r="L25" i="19"/>
  <c r="P25" i="19" s="1"/>
  <c r="L17" i="19"/>
  <c r="P17" i="19" s="1"/>
  <c r="L8" i="19"/>
  <c r="P8" i="19" s="1"/>
  <c r="R23" i="11"/>
  <c r="P23" i="11"/>
  <c r="R14" i="11"/>
  <c r="P14" i="11"/>
  <c r="R17" i="18"/>
  <c r="P17" i="18"/>
  <c r="R8" i="18"/>
  <c r="P8" i="18"/>
  <c r="L15" i="19"/>
  <c r="P15" i="19" s="1"/>
  <c r="R13" i="18"/>
  <c r="P13" i="18"/>
  <c r="L23" i="19"/>
  <c r="P23" i="19" s="1"/>
  <c r="L13" i="19"/>
  <c r="P13" i="19" s="1"/>
  <c r="P25" i="11"/>
  <c r="R25" i="11"/>
  <c r="R18" i="11"/>
  <c r="P18" i="11"/>
  <c r="R22" i="18"/>
  <c r="P22" i="18"/>
  <c r="R16" i="11"/>
  <c r="P16" i="11"/>
  <c r="P27" i="11"/>
  <c r="R27" i="11"/>
  <c r="R9" i="11"/>
  <c r="P9" i="11"/>
  <c r="P7" i="11"/>
  <c r="R7" i="11"/>
  <c r="P27" i="18"/>
  <c r="R27" i="18"/>
  <c r="N18" i="18"/>
  <c r="R18" i="18"/>
  <c r="P18" i="18"/>
  <c r="R9" i="18"/>
  <c r="P9" i="18"/>
  <c r="L18" i="19"/>
  <c r="P18" i="19" s="1"/>
  <c r="P26" i="18"/>
  <c r="R26" i="18"/>
  <c r="R20" i="11"/>
  <c r="P20" i="11"/>
  <c r="P14" i="18"/>
  <c r="R14" i="18"/>
  <c r="L26" i="19"/>
  <c r="P26" i="19" s="1"/>
  <c r="R21" i="19"/>
  <c r="R11" i="19"/>
  <c r="L11" i="19"/>
  <c r="P11" i="19" s="1"/>
  <c r="L9" i="19"/>
  <c r="P9" i="19" s="1"/>
  <c r="R22" i="11"/>
  <c r="P22" i="11"/>
  <c r="R11" i="11"/>
  <c r="P11" i="11"/>
  <c r="P7" i="12"/>
  <c r="P29" i="12" s="1"/>
  <c r="R7" i="12"/>
  <c r="P23" i="18"/>
  <c r="R23" i="18"/>
  <c r="R19" i="18"/>
  <c r="P19" i="18"/>
  <c r="L24" i="19"/>
  <c r="P24" i="19" s="1"/>
  <c r="L16" i="19"/>
  <c r="P16" i="19" s="1"/>
  <c r="L7" i="19"/>
  <c r="P7" i="19" s="1"/>
  <c r="L27" i="19"/>
  <c r="P27" i="19" s="1"/>
  <c r="P16" i="18"/>
  <c r="R16" i="18"/>
  <c r="R12" i="11"/>
  <c r="P12" i="11"/>
  <c r="L20" i="19"/>
  <c r="P20" i="19" s="1"/>
  <c r="R15" i="11"/>
  <c r="P15" i="11"/>
  <c r="P28" i="18"/>
  <c r="R28" i="18"/>
  <c r="R10" i="18"/>
  <c r="P10" i="18"/>
  <c r="L14" i="19"/>
  <c r="P14" i="19" s="1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P28" i="17"/>
  <c r="R28" i="17"/>
  <c r="P27" i="17"/>
  <c r="R27" i="17"/>
  <c r="P26" i="17"/>
  <c r="R26" i="17"/>
  <c r="P25" i="17"/>
  <c r="R25" i="17"/>
  <c r="P24" i="17"/>
  <c r="R24" i="17"/>
  <c r="P23" i="17"/>
  <c r="R23" i="17"/>
  <c r="P22" i="17"/>
  <c r="R22" i="17"/>
  <c r="P21" i="17"/>
  <c r="R21" i="17"/>
  <c r="P20" i="17"/>
  <c r="R20" i="17"/>
  <c r="P19" i="17"/>
  <c r="R19" i="17"/>
  <c r="P18" i="17"/>
  <c r="R18" i="17"/>
  <c r="P17" i="17"/>
  <c r="R17" i="17"/>
  <c r="P16" i="17"/>
  <c r="R16" i="17"/>
  <c r="P15" i="17"/>
  <c r="R15" i="17"/>
  <c r="P14" i="17"/>
  <c r="R14" i="17"/>
  <c r="P13" i="17"/>
  <c r="R13" i="17"/>
  <c r="P12" i="17"/>
  <c r="R12" i="17"/>
  <c r="P11" i="17"/>
  <c r="R11" i="17"/>
  <c r="P10" i="17"/>
  <c r="R10" i="17"/>
  <c r="P9" i="17"/>
  <c r="R9" i="17"/>
  <c r="P8" i="17"/>
  <c r="R8" i="17"/>
  <c r="P7" i="17"/>
  <c r="R7" i="17"/>
  <c r="R28" i="19"/>
  <c r="P11" i="20"/>
  <c r="R11" i="20"/>
  <c r="P9" i="20"/>
  <c r="R9" i="20"/>
  <c r="R29" i="20" s="1"/>
  <c r="N25" i="20"/>
  <c r="P25" i="20"/>
  <c r="P7" i="20"/>
  <c r="N7" i="20"/>
  <c r="N15" i="20"/>
  <c r="P15" i="20"/>
  <c r="N24" i="20"/>
  <c r="P24" i="20"/>
  <c r="N19" i="20"/>
  <c r="P19" i="20"/>
  <c r="N12" i="20"/>
  <c r="P12" i="20"/>
  <c r="N8" i="20"/>
  <c r="P8" i="20"/>
  <c r="N10" i="20"/>
  <c r="P10" i="20"/>
  <c r="N21" i="20"/>
  <c r="P21" i="20"/>
  <c r="N27" i="20"/>
  <c r="P27" i="20"/>
  <c r="N16" i="20"/>
  <c r="P16" i="20"/>
  <c r="N28" i="20"/>
  <c r="P28" i="20"/>
  <c r="N18" i="20"/>
  <c r="P18" i="20"/>
  <c r="G23" i="20"/>
  <c r="T23" i="20" s="1"/>
  <c r="N20" i="20"/>
  <c r="P20" i="20"/>
  <c r="G16" i="20"/>
  <c r="T16" i="20" s="1"/>
  <c r="F23" i="20"/>
  <c r="F16" i="20"/>
  <c r="N11" i="20"/>
  <c r="N9" i="20"/>
  <c r="N14" i="20"/>
  <c r="P14" i="20"/>
  <c r="N26" i="20"/>
  <c r="P26" i="20"/>
  <c r="N13" i="20"/>
  <c r="P13" i="20"/>
  <c r="N22" i="20"/>
  <c r="P22" i="20"/>
  <c r="F20" i="20"/>
  <c r="G11" i="20"/>
  <c r="T11" i="20" s="1"/>
  <c r="G9" i="20"/>
  <c r="T9" i="20" s="1"/>
  <c r="N23" i="20"/>
  <c r="P23" i="20"/>
  <c r="N17" i="20"/>
  <c r="P17" i="20"/>
  <c r="AM17" i="10"/>
  <c r="D42" i="10" s="1"/>
  <c r="N16" i="10"/>
  <c r="P16" i="10"/>
  <c r="N11" i="10"/>
  <c r="P11" i="10"/>
  <c r="AM23" i="10"/>
  <c r="D48" i="10" s="1"/>
  <c r="AM27" i="10"/>
  <c r="D52" i="10" s="1"/>
  <c r="A53" i="10"/>
  <c r="N14" i="10"/>
  <c r="P14" i="10"/>
  <c r="N25" i="10"/>
  <c r="P25" i="10"/>
  <c r="AM26" i="10"/>
  <c r="D51" i="10" s="1"/>
  <c r="F40" i="10"/>
  <c r="AM25" i="10"/>
  <c r="D50" i="10" s="1"/>
  <c r="A43" i="10"/>
  <c r="N9" i="10"/>
  <c r="P9" i="10"/>
  <c r="N20" i="10"/>
  <c r="P20" i="10"/>
  <c r="AM24" i="10"/>
  <c r="D49" i="10" s="1"/>
  <c r="N15" i="10"/>
  <c r="P15" i="10"/>
  <c r="N26" i="10"/>
  <c r="P26" i="10"/>
  <c r="N10" i="10"/>
  <c r="P10" i="10"/>
  <c r="N28" i="10"/>
  <c r="P28" i="10"/>
  <c r="F42" i="10"/>
  <c r="N23" i="10"/>
  <c r="P23" i="10"/>
  <c r="AM13" i="10"/>
  <c r="D38" i="10" s="1"/>
  <c r="AM12" i="10"/>
  <c r="D37" i="10" s="1"/>
  <c r="N24" i="10"/>
  <c r="P24" i="10"/>
  <c r="N27" i="10"/>
  <c r="P27" i="10"/>
  <c r="N17" i="10"/>
  <c r="P17" i="10"/>
  <c r="N7" i="10"/>
  <c r="P7" i="10"/>
  <c r="N21" i="10"/>
  <c r="P21" i="10"/>
  <c r="N22" i="10"/>
  <c r="P22" i="10"/>
  <c r="N12" i="10"/>
  <c r="P12" i="10"/>
  <c r="F32" i="10"/>
  <c r="N18" i="10"/>
  <c r="P18" i="10"/>
  <c r="AM11" i="10"/>
  <c r="N13" i="10"/>
  <c r="P13" i="10"/>
  <c r="N8" i="10"/>
  <c r="P8" i="10"/>
  <c r="N19" i="10"/>
  <c r="P19" i="10"/>
  <c r="AM7" i="10"/>
  <c r="D32" i="10" s="1"/>
  <c r="F49" i="10"/>
  <c r="A32" i="10"/>
  <c r="F37" i="7"/>
  <c r="F44" i="7"/>
  <c r="F43" i="7"/>
  <c r="F42" i="7"/>
  <c r="I15" i="17"/>
  <c r="G15" i="17"/>
  <c r="T15" i="17" s="1"/>
  <c r="G12" i="17"/>
  <c r="T12" i="17" s="1"/>
  <c r="I9" i="17"/>
  <c r="D36" i="11"/>
  <c r="D35" i="11"/>
  <c r="D37" i="11"/>
  <c r="A54" i="11"/>
  <c r="N7" i="11"/>
  <c r="I49" i="11"/>
  <c r="A38" i="11"/>
  <c r="A47" i="11"/>
  <c r="I48" i="11"/>
  <c r="AM17" i="11"/>
  <c r="D33" i="11"/>
  <c r="A52" i="11"/>
  <c r="I36" i="18"/>
  <c r="I35" i="18"/>
  <c r="A52" i="18"/>
  <c r="A43" i="18"/>
  <c r="A50" i="18"/>
  <c r="A54" i="18"/>
  <c r="F41" i="12"/>
  <c r="D52" i="12"/>
  <c r="F44" i="12"/>
  <c r="F46" i="12"/>
  <c r="F45" i="12"/>
  <c r="F40" i="12"/>
  <c r="D48" i="12"/>
  <c r="F39" i="12"/>
  <c r="F43" i="12"/>
  <c r="A43" i="19"/>
  <c r="F17" i="19"/>
  <c r="G11" i="19"/>
  <c r="T11" i="19" s="1"/>
  <c r="F52" i="19"/>
  <c r="N28" i="19"/>
  <c r="N25" i="19"/>
  <c r="F8" i="19"/>
  <c r="N23" i="19"/>
  <c r="N16" i="19"/>
  <c r="N21" i="19"/>
  <c r="N9" i="19"/>
  <c r="N14" i="19"/>
  <c r="N11" i="19"/>
  <c r="N8" i="19"/>
  <c r="I25" i="19"/>
  <c r="A51" i="19"/>
  <c r="I28" i="19"/>
  <c r="I22" i="19"/>
  <c r="A41" i="19"/>
  <c r="F48" i="19"/>
  <c r="D45" i="19"/>
  <c r="D54" i="19"/>
  <c r="A39" i="19"/>
  <c r="A36" i="19"/>
  <c r="F47" i="19"/>
  <c r="I13" i="19"/>
  <c r="D38" i="19"/>
  <c r="D48" i="19"/>
  <c r="G16" i="19"/>
  <c r="T16" i="19" s="1"/>
  <c r="D46" i="12"/>
  <c r="D45" i="12"/>
  <c r="I13" i="12"/>
  <c r="I9" i="12"/>
  <c r="F36" i="12"/>
  <c r="D44" i="12"/>
  <c r="D35" i="12"/>
  <c r="F51" i="12"/>
  <c r="D43" i="12"/>
  <c r="AO23" i="12"/>
  <c r="D47" i="12"/>
  <c r="F42" i="12"/>
  <c r="D42" i="12"/>
  <c r="D41" i="12"/>
  <c r="D38" i="12"/>
  <c r="F35" i="12"/>
  <c r="D34" i="12"/>
  <c r="D54" i="12"/>
  <c r="F53" i="12"/>
  <c r="G9" i="12"/>
  <c r="T9" i="12" s="1"/>
  <c r="F52" i="12"/>
  <c r="I28" i="12"/>
  <c r="F21" i="12"/>
  <c r="A44" i="12"/>
  <c r="F38" i="12"/>
  <c r="F50" i="12"/>
  <c r="A36" i="12"/>
  <c r="F49" i="12"/>
  <c r="A55" i="12"/>
  <c r="D49" i="12"/>
  <c r="F48" i="12"/>
  <c r="F54" i="12"/>
  <c r="F47" i="12"/>
  <c r="N15" i="17"/>
  <c r="N27" i="17"/>
  <c r="N20" i="17"/>
  <c r="I20" i="17"/>
  <c r="N7" i="17"/>
  <c r="N28" i="17"/>
  <c r="N18" i="17"/>
  <c r="N9" i="17"/>
  <c r="N26" i="17"/>
  <c r="N19" i="17"/>
  <c r="N22" i="17"/>
  <c r="N25" i="17"/>
  <c r="AN12" i="7"/>
  <c r="AN11" i="7"/>
  <c r="D35" i="7"/>
  <c r="D47" i="7"/>
  <c r="D50" i="7"/>
  <c r="F39" i="7"/>
  <c r="F47" i="7"/>
  <c r="AN26" i="7"/>
  <c r="F49" i="7"/>
  <c r="D48" i="7"/>
  <c r="D46" i="7"/>
  <c r="F40" i="7"/>
  <c r="A37" i="7"/>
  <c r="F38" i="7"/>
  <c r="AN28" i="7"/>
  <c r="D52" i="7"/>
  <c r="F52" i="7"/>
  <c r="D51" i="7"/>
  <c r="F51" i="7"/>
  <c r="F50" i="7"/>
  <c r="D49" i="7"/>
  <c r="F48" i="7"/>
  <c r="AN23" i="7"/>
  <c r="F41" i="7"/>
  <c r="D39" i="7"/>
  <c r="F32" i="7"/>
  <c r="F31" i="7"/>
  <c r="F46" i="7"/>
  <c r="F45" i="7"/>
  <c r="D37" i="7"/>
  <c r="AM8" i="10"/>
  <c r="D33" i="10" s="1"/>
  <c r="AM9" i="10"/>
  <c r="D34" i="10" s="1"/>
  <c r="F33" i="10"/>
  <c r="AM14" i="10"/>
  <c r="D39" i="10" s="1"/>
  <c r="A33" i="10"/>
  <c r="F44" i="10"/>
  <c r="AM10" i="10"/>
  <c r="D46" i="10"/>
  <c r="A42" i="10"/>
  <c r="F53" i="10"/>
  <c r="A41" i="10"/>
  <c r="F52" i="10"/>
  <c r="F48" i="10"/>
  <c r="AM28" i="10"/>
  <c r="D36" i="10"/>
  <c r="A40" i="10"/>
  <c r="F51" i="10"/>
  <c r="AM15" i="10"/>
  <c r="D40" i="10" s="1"/>
  <c r="A36" i="10"/>
  <c r="F47" i="10"/>
  <c r="A39" i="10"/>
  <c r="F50" i="10"/>
  <c r="A35" i="10"/>
  <c r="F46" i="10"/>
  <c r="A34" i="10"/>
  <c r="D41" i="10"/>
  <c r="A52" i="10"/>
  <c r="A51" i="10"/>
  <c r="A50" i="10"/>
  <c r="F39" i="10"/>
  <c r="F37" i="10"/>
  <c r="A47" i="10"/>
  <c r="F36" i="10"/>
  <c r="D53" i="10"/>
  <c r="D45" i="10"/>
  <c r="D6" i="16"/>
  <c r="E6" i="16" s="1"/>
  <c r="F45" i="10"/>
  <c r="D7" i="16"/>
  <c r="F7" i="16" s="1"/>
  <c r="A48" i="10"/>
  <c r="D35" i="10"/>
  <c r="A46" i="10"/>
  <c r="F35" i="10"/>
  <c r="A45" i="10"/>
  <c r="F34" i="10"/>
  <c r="AN25" i="20"/>
  <c r="D50" i="20" s="1"/>
  <c r="I22" i="20"/>
  <c r="G27" i="20"/>
  <c r="T27" i="20" s="1"/>
  <c r="G22" i="20"/>
  <c r="T22" i="20" s="1"/>
  <c r="F27" i="20"/>
  <c r="I24" i="20"/>
  <c r="F22" i="20"/>
  <c r="AN27" i="20"/>
  <c r="AN24" i="20"/>
  <c r="D49" i="20" s="1"/>
  <c r="AN15" i="20"/>
  <c r="D40" i="20" s="1"/>
  <c r="AN28" i="20"/>
  <c r="D53" i="20" s="1"/>
  <c r="A52" i="20"/>
  <c r="AN21" i="20"/>
  <c r="F37" i="20"/>
  <c r="F36" i="20"/>
  <c r="A50" i="20"/>
  <c r="AN23" i="20"/>
  <c r="D48" i="20" s="1"/>
  <c r="AN12" i="20"/>
  <c r="D37" i="20" s="1"/>
  <c r="AN8" i="20"/>
  <c r="D33" i="20" s="1"/>
  <c r="F50" i="20"/>
  <c r="I28" i="20"/>
  <c r="AN14" i="20"/>
  <c r="D39" i="20" s="1"/>
  <c r="AN20" i="20"/>
  <c r="D45" i="20" s="1"/>
  <c r="AN16" i="20"/>
  <c r="D41" i="20" s="1"/>
  <c r="AN18" i="20"/>
  <c r="D43" i="20" s="1"/>
  <c r="AN22" i="20"/>
  <c r="D47" i="20" s="1"/>
  <c r="AN11" i="20"/>
  <c r="D36" i="20" s="1"/>
  <c r="AN7" i="20"/>
  <c r="D32" i="20" s="1"/>
  <c r="AN9" i="20"/>
  <c r="AN13" i="20"/>
  <c r="D38" i="20" s="1"/>
  <c r="AN17" i="20"/>
  <c r="D42" i="20" s="1"/>
  <c r="AN26" i="20"/>
  <c r="D51" i="20" s="1"/>
  <c r="F49" i="20"/>
  <c r="AN19" i="20"/>
  <c r="D44" i="20" s="1"/>
  <c r="AN10" i="20"/>
  <c r="D35" i="20" s="1"/>
  <c r="A36" i="20"/>
  <c r="G28" i="20"/>
  <c r="T28" i="20" s="1"/>
  <c r="F19" i="20"/>
  <c r="I12" i="20"/>
  <c r="D48" i="18"/>
  <c r="I22" i="18"/>
  <c r="A48" i="18"/>
  <c r="G22" i="18"/>
  <c r="T22" i="18" s="1"/>
  <c r="N28" i="18"/>
  <c r="AN10" i="18"/>
  <c r="N19" i="18"/>
  <c r="N10" i="18"/>
  <c r="AN25" i="18"/>
  <c r="G51" i="18" s="1"/>
  <c r="AN27" i="18"/>
  <c r="G53" i="18" s="1"/>
  <c r="N27" i="18"/>
  <c r="A47" i="18"/>
  <c r="N11" i="18"/>
  <c r="I53" i="18"/>
  <c r="N22" i="18"/>
  <c r="D34" i="18"/>
  <c r="N24" i="18"/>
  <c r="N8" i="18"/>
  <c r="N23" i="18"/>
  <c r="I7" i="18"/>
  <c r="N9" i="18"/>
  <c r="N16" i="18"/>
  <c r="AN13" i="18"/>
  <c r="G39" i="18" s="1"/>
  <c r="N20" i="18"/>
  <c r="I41" i="18"/>
  <c r="D37" i="18"/>
  <c r="F24" i="18"/>
  <c r="I15" i="18"/>
  <c r="I8" i="18"/>
  <c r="AM24" i="11"/>
  <c r="G50" i="11" s="1"/>
  <c r="A50" i="11"/>
  <c r="A49" i="11"/>
  <c r="I52" i="11"/>
  <c r="I50" i="11"/>
  <c r="D54" i="11"/>
  <c r="D53" i="11"/>
  <c r="I47" i="11"/>
  <c r="D38" i="11"/>
  <c r="A34" i="11"/>
  <c r="D34" i="11"/>
  <c r="A53" i="11"/>
  <c r="I42" i="11"/>
  <c r="D51" i="11"/>
  <c r="F16" i="11"/>
  <c r="I46" i="11"/>
  <c r="Y16" i="11"/>
  <c r="AM16" i="11" s="1"/>
  <c r="G42" i="11" s="1"/>
  <c r="A42" i="11"/>
  <c r="AA15" i="11"/>
  <c r="AM15" i="11" s="1"/>
  <c r="D41" i="11"/>
  <c r="A51" i="11"/>
  <c r="F7" i="11"/>
  <c r="I33" i="11"/>
  <c r="AA23" i="11"/>
  <c r="D49" i="11"/>
  <c r="I51" i="11"/>
  <c r="AM23" i="11"/>
  <c r="G49" i="11" s="1"/>
  <c r="AM22" i="11"/>
  <c r="G48" i="11" s="1"/>
  <c r="D44" i="11"/>
  <c r="A44" i="11"/>
  <c r="I44" i="11"/>
  <c r="G22" i="11"/>
  <c r="T22" i="11" s="1"/>
  <c r="D48" i="11"/>
  <c r="Y20" i="11"/>
  <c r="AM20" i="11" s="1"/>
  <c r="G46" i="11" s="1"/>
  <c r="A46" i="11"/>
  <c r="AA19" i="11"/>
  <c r="D45" i="11"/>
  <c r="F26" i="11"/>
  <c r="D52" i="11"/>
  <c r="G10" i="11"/>
  <c r="T10" i="11" s="1"/>
  <c r="A36" i="11"/>
  <c r="I36" i="11"/>
  <c r="Y19" i="11"/>
  <c r="A45" i="11"/>
  <c r="Y21" i="11"/>
  <c r="AM21" i="11" s="1"/>
  <c r="G47" i="11" s="1"/>
  <c r="D40" i="11"/>
  <c r="A40" i="11"/>
  <c r="I40" i="11"/>
  <c r="AM18" i="11"/>
  <c r="AQ18" i="11" s="1"/>
  <c r="A33" i="11"/>
  <c r="A48" i="11"/>
  <c r="AQ24" i="11"/>
  <c r="I43" i="11"/>
  <c r="AM14" i="11"/>
  <c r="G40" i="11" s="1"/>
  <c r="G43" i="11"/>
  <c r="AQ8" i="11"/>
  <c r="AM13" i="11"/>
  <c r="AQ13" i="11" s="1"/>
  <c r="AM12" i="11"/>
  <c r="G38" i="11" s="1"/>
  <c r="A43" i="11"/>
  <c r="AM11" i="11"/>
  <c r="G37" i="11" s="1"/>
  <c r="I39" i="11"/>
  <c r="AM10" i="11"/>
  <c r="G36" i="11" s="1"/>
  <c r="A41" i="11"/>
  <c r="D47" i="11"/>
  <c r="I38" i="11"/>
  <c r="AM9" i="11"/>
  <c r="AQ9" i="11" s="1"/>
  <c r="D46" i="11"/>
  <c r="AM8" i="11"/>
  <c r="G34" i="11" s="1"/>
  <c r="A39" i="11"/>
  <c r="AM7" i="11"/>
  <c r="G33" i="11" s="1"/>
  <c r="I35" i="11"/>
  <c r="AQ7" i="11"/>
  <c r="AM28" i="11"/>
  <c r="AQ28" i="11" s="1"/>
  <c r="A37" i="11"/>
  <c r="D43" i="11"/>
  <c r="G35" i="11"/>
  <c r="I34" i="11"/>
  <c r="AM27" i="11"/>
  <c r="G53" i="11" s="1"/>
  <c r="D42" i="11"/>
  <c r="AM26" i="11"/>
  <c r="G52" i="11" s="1"/>
  <c r="A35" i="11"/>
  <c r="I54" i="11"/>
  <c r="AQ26" i="11"/>
  <c r="AM25" i="11"/>
  <c r="G51" i="11" s="1"/>
  <c r="I53" i="11"/>
  <c r="N14" i="17"/>
  <c r="I22" i="17"/>
  <c r="F8" i="17"/>
  <c r="G26" i="18"/>
  <c r="T26" i="18" s="1"/>
  <c r="I21" i="18"/>
  <c r="F16" i="18"/>
  <c r="F14" i="18"/>
  <c r="AA8" i="18"/>
  <c r="F7" i="18"/>
  <c r="F27" i="19"/>
  <c r="F10" i="19"/>
  <c r="A38" i="19"/>
  <c r="N24" i="17"/>
  <c r="G22" i="17"/>
  <c r="T22" i="17" s="1"/>
  <c r="N17" i="17"/>
  <c r="AN22" i="18"/>
  <c r="G48" i="18" s="1"/>
  <c r="G21" i="18"/>
  <c r="T21" i="18" s="1"/>
  <c r="N17" i="18"/>
  <c r="A34" i="18"/>
  <c r="Y8" i="18"/>
  <c r="D35" i="18"/>
  <c r="N12" i="17"/>
  <c r="F21" i="18"/>
  <c r="I44" i="18"/>
  <c r="I10" i="18"/>
  <c r="I24" i="18"/>
  <c r="I16" i="19"/>
  <c r="I7" i="19"/>
  <c r="I24" i="17"/>
  <c r="I12" i="17"/>
  <c r="G24" i="18"/>
  <c r="T24" i="18" s="1"/>
  <c r="D44" i="18"/>
  <c r="AN15" i="18"/>
  <c r="G41" i="18" s="1"/>
  <c r="D39" i="18"/>
  <c r="G10" i="18"/>
  <c r="T10" i="18" s="1"/>
  <c r="A53" i="18"/>
  <c r="I24" i="19"/>
  <c r="N13" i="18"/>
  <c r="I47" i="18"/>
  <c r="F9" i="19"/>
  <c r="F54" i="19"/>
  <c r="N21" i="17"/>
  <c r="N23" i="17"/>
  <c r="I21" i="17"/>
  <c r="I14" i="17"/>
  <c r="N11" i="17"/>
  <c r="AN23" i="18"/>
  <c r="G49" i="18" s="1"/>
  <c r="I13" i="18"/>
  <c r="AN9" i="18"/>
  <c r="G35" i="18" s="1"/>
  <c r="G8" i="18"/>
  <c r="T8" i="18" s="1"/>
  <c r="D47" i="18"/>
  <c r="A52" i="19"/>
  <c r="Y25" i="19"/>
  <c r="AK25" i="19" s="1"/>
  <c r="D52" i="19" s="1"/>
  <c r="A54" i="19"/>
  <c r="A44" i="19"/>
  <c r="Y17" i="19"/>
  <c r="AK17" i="19" s="1"/>
  <c r="D44" i="19" s="1"/>
  <c r="N16" i="17"/>
  <c r="G14" i="17"/>
  <c r="T14" i="17" s="1"/>
  <c r="G9" i="17"/>
  <c r="T9" i="17" s="1"/>
  <c r="AN28" i="18"/>
  <c r="G25" i="18"/>
  <c r="T25" i="18" s="1"/>
  <c r="A41" i="18"/>
  <c r="G13" i="18"/>
  <c r="T13" i="18" s="1"/>
  <c r="F37" i="19"/>
  <c r="F51" i="19"/>
  <c r="I23" i="17"/>
  <c r="G21" i="17"/>
  <c r="T21" i="17" s="1"/>
  <c r="G20" i="18"/>
  <c r="T20" i="18" s="1"/>
  <c r="I18" i="18"/>
  <c r="AN16" i="18"/>
  <c r="I11" i="18"/>
  <c r="I42" i="18"/>
  <c r="A55" i="19"/>
  <c r="D47" i="19"/>
  <c r="G23" i="17"/>
  <c r="T23" i="17" s="1"/>
  <c r="A39" i="18"/>
  <c r="I33" i="18"/>
  <c r="G42" i="18"/>
  <c r="A37" i="19"/>
  <c r="Y10" i="19"/>
  <c r="AK10" i="19" s="1"/>
  <c r="D37" i="19" s="1"/>
  <c r="A47" i="19"/>
  <c r="I9" i="20"/>
  <c r="A44" i="18"/>
  <c r="Y18" i="18"/>
  <c r="AN18" i="18" s="1"/>
  <c r="F16" i="17"/>
  <c r="I50" i="18"/>
  <c r="A46" i="18"/>
  <c r="D33" i="18"/>
  <c r="D42" i="18"/>
  <c r="F15" i="19"/>
  <c r="F46" i="19"/>
  <c r="AN26" i="18"/>
  <c r="G52" i="18" s="1"/>
  <c r="AN14" i="18"/>
  <c r="G40" i="18" s="1"/>
  <c r="A42" i="18"/>
  <c r="A45" i="19"/>
  <c r="N13" i="17"/>
  <c r="N8" i="17"/>
  <c r="AN21" i="18"/>
  <c r="G47" i="18" s="1"/>
  <c r="F44" i="19"/>
  <c r="I27" i="17"/>
  <c r="G25" i="17"/>
  <c r="T25" i="17" s="1"/>
  <c r="I28" i="18"/>
  <c r="N26" i="18"/>
  <c r="D50" i="18"/>
  <c r="N14" i="18"/>
  <c r="AN12" i="18"/>
  <c r="G38" i="18" s="1"/>
  <c r="N7" i="18"/>
  <c r="F25" i="19"/>
  <c r="F50" i="19"/>
  <c r="I12" i="19"/>
  <c r="F39" i="19"/>
  <c r="A37" i="18"/>
  <c r="Y11" i="18"/>
  <c r="AN11" i="18" s="1"/>
  <c r="G37" i="18" s="1"/>
  <c r="N25" i="18"/>
  <c r="I8" i="17"/>
  <c r="AN24" i="18"/>
  <c r="G50" i="18" s="1"/>
  <c r="AN19" i="18"/>
  <c r="G45" i="18" s="1"/>
  <c r="I16" i="18"/>
  <c r="G36" i="18"/>
  <c r="I27" i="19"/>
  <c r="F49" i="19"/>
  <c r="F34" i="19"/>
  <c r="G27" i="17"/>
  <c r="T27" i="17" s="1"/>
  <c r="G28" i="18"/>
  <c r="T28" i="18" s="1"/>
  <c r="I26" i="18"/>
  <c r="A49" i="18"/>
  <c r="I34" i="18"/>
  <c r="D36" i="18"/>
  <c r="A48" i="19"/>
  <c r="F45" i="19"/>
  <c r="I10" i="19"/>
  <c r="D34" i="19"/>
  <c r="F38" i="19"/>
  <c r="N15" i="18"/>
  <c r="AN20" i="18"/>
  <c r="G46" i="18" s="1"/>
  <c r="N10" i="17"/>
  <c r="F28" i="18"/>
  <c r="AN17" i="18"/>
  <c r="N12" i="18"/>
  <c r="A36" i="18"/>
  <c r="A49" i="19"/>
  <c r="Y22" i="19"/>
  <c r="AK22" i="19" s="1"/>
  <c r="D49" i="19" s="1"/>
  <c r="I14" i="19"/>
  <c r="F46" i="20"/>
  <c r="A43" i="20"/>
  <c r="F32" i="20"/>
  <c r="F42" i="20"/>
  <c r="D52" i="20"/>
  <c r="A38" i="20"/>
  <c r="I23" i="20"/>
  <c r="D46" i="20"/>
  <c r="I27" i="20"/>
  <c r="F25" i="20"/>
  <c r="F45" i="20"/>
  <c r="I16" i="20"/>
  <c r="G21" i="20"/>
  <c r="T21" i="20" s="1"/>
  <c r="G7" i="20"/>
  <c r="T7" i="20" s="1"/>
  <c r="F35" i="20"/>
  <c r="F47" i="20"/>
  <c r="I21" i="20"/>
  <c r="F34" i="20"/>
  <c r="F21" i="20"/>
  <c r="F7" i="20"/>
  <c r="I8" i="20"/>
  <c r="I28" i="17"/>
  <c r="I19" i="19"/>
  <c r="I18" i="19"/>
  <c r="I25" i="17"/>
  <c r="I8" i="19"/>
  <c r="I18" i="20"/>
  <c r="F51" i="20"/>
  <c r="A49" i="20"/>
  <c r="F41" i="20"/>
  <c r="D34" i="20"/>
  <c r="I25" i="20"/>
  <c r="I14" i="20"/>
  <c r="F48" i="20"/>
  <c r="A34" i="20"/>
  <c r="F33" i="20"/>
  <c r="G14" i="20"/>
  <c r="T14" i="20" s="1"/>
  <c r="I7" i="20"/>
  <c r="F40" i="20"/>
  <c r="F44" i="20"/>
  <c r="A44" i="20"/>
  <c r="A51" i="20"/>
  <c r="A33" i="20"/>
  <c r="A40" i="20"/>
  <c r="F39" i="20"/>
  <c r="I26" i="20"/>
  <c r="I15" i="20"/>
  <c r="G26" i="20"/>
  <c r="T26" i="20" s="1"/>
  <c r="I19" i="20"/>
  <c r="G15" i="20"/>
  <c r="T15" i="20" s="1"/>
  <c r="F38" i="20"/>
  <c r="F53" i="20"/>
  <c r="D51" i="19"/>
  <c r="D40" i="19"/>
  <c r="D39" i="19"/>
  <c r="F43" i="19"/>
  <c r="D43" i="19"/>
  <c r="D50" i="19"/>
  <c r="F35" i="19"/>
  <c r="A50" i="19"/>
  <c r="F42" i="19"/>
  <c r="D35" i="19"/>
  <c r="G14" i="19"/>
  <c r="T14" i="19" s="1"/>
  <c r="D42" i="19"/>
  <c r="A35" i="19"/>
  <c r="A40" i="19"/>
  <c r="F53" i="19"/>
  <c r="D46" i="19"/>
  <c r="D53" i="19"/>
  <c r="A46" i="19"/>
  <c r="A53" i="19"/>
  <c r="F36" i="19"/>
  <c r="D36" i="19"/>
  <c r="A42" i="19"/>
  <c r="F41" i="19"/>
  <c r="D41" i="19"/>
  <c r="I26" i="19"/>
  <c r="I15" i="19"/>
  <c r="F55" i="19"/>
  <c r="D55" i="19"/>
  <c r="F40" i="19"/>
  <c r="N21" i="18"/>
  <c r="I46" i="18"/>
  <c r="I14" i="18"/>
  <c r="A40" i="18"/>
  <c r="D40" i="18"/>
  <c r="D46" i="18"/>
  <c r="I25" i="18"/>
  <c r="A51" i="18"/>
  <c r="D51" i="18"/>
  <c r="A33" i="18"/>
  <c r="F19" i="18"/>
  <c r="G19" i="18"/>
  <c r="T19" i="18" s="1"/>
  <c r="I19" i="18"/>
  <c r="A45" i="18"/>
  <c r="D45" i="18"/>
  <c r="I45" i="18"/>
  <c r="D41" i="18"/>
  <c r="I52" i="18"/>
  <c r="I40" i="18"/>
  <c r="D52" i="18"/>
  <c r="A38" i="18"/>
  <c r="I20" i="18"/>
  <c r="I9" i="18"/>
  <c r="A35" i="18"/>
  <c r="AA7" i="18"/>
  <c r="AN7" i="18" s="1"/>
  <c r="G33" i="18" s="1"/>
  <c r="I51" i="18"/>
  <c r="F23" i="18"/>
  <c r="F12" i="18"/>
  <c r="G7" i="18"/>
  <c r="T7" i="18" s="1"/>
  <c r="I49" i="18"/>
  <c r="I38" i="18"/>
  <c r="I54" i="18"/>
  <c r="D49" i="18"/>
  <c r="I43" i="18"/>
  <c r="D38" i="18"/>
  <c r="G54" i="18"/>
  <c r="D54" i="18"/>
  <c r="I48" i="18"/>
  <c r="D43" i="18"/>
  <c r="I37" i="18"/>
  <c r="I19" i="17"/>
  <c r="I13" i="17"/>
  <c r="I10" i="17"/>
  <c r="I16" i="17"/>
  <c r="I7" i="17"/>
  <c r="G19" i="17"/>
  <c r="T19" i="17" s="1"/>
  <c r="G13" i="17"/>
  <c r="T13" i="17" s="1"/>
  <c r="G10" i="17"/>
  <c r="T10" i="17" s="1"/>
  <c r="F26" i="12"/>
  <c r="A53" i="12"/>
  <c r="G25" i="12"/>
  <c r="T25" i="12" s="1"/>
  <c r="A52" i="12"/>
  <c r="G24" i="12"/>
  <c r="T24" i="12" s="1"/>
  <c r="A51" i="12"/>
  <c r="G23" i="12"/>
  <c r="T23" i="12" s="1"/>
  <c r="A50" i="12"/>
  <c r="G21" i="12"/>
  <c r="T21" i="12" s="1"/>
  <c r="A48" i="12"/>
  <c r="F20" i="12"/>
  <c r="A47" i="12"/>
  <c r="F19" i="12"/>
  <c r="A46" i="12"/>
  <c r="G18" i="12"/>
  <c r="T18" i="12" s="1"/>
  <c r="A45" i="12"/>
  <c r="F16" i="12"/>
  <c r="A43" i="12"/>
  <c r="F15" i="12"/>
  <c r="A42" i="12"/>
  <c r="F14" i="12"/>
  <c r="A41" i="12"/>
  <c r="F13" i="12"/>
  <c r="A40" i="12"/>
  <c r="G12" i="12"/>
  <c r="T12" i="12" s="1"/>
  <c r="A39" i="12"/>
  <c r="F10" i="12"/>
  <c r="A37" i="12"/>
  <c r="F8" i="12"/>
  <c r="A35" i="12"/>
  <c r="G7" i="12"/>
  <c r="T7" i="12" s="1"/>
  <c r="A34" i="12"/>
  <c r="N28" i="12"/>
  <c r="N27" i="12"/>
  <c r="N25" i="12"/>
  <c r="N24" i="12"/>
  <c r="N23" i="12"/>
  <c r="N22" i="12"/>
  <c r="N21" i="12"/>
  <c r="N20" i="12"/>
  <c r="N19" i="12"/>
  <c r="N14" i="12"/>
  <c r="N13" i="12"/>
  <c r="N12" i="12"/>
  <c r="N9" i="12"/>
  <c r="N8" i="12"/>
  <c r="N7" i="12"/>
  <c r="AO8" i="12"/>
  <c r="N25" i="11"/>
  <c r="N24" i="11"/>
  <c r="N23" i="11"/>
  <c r="N17" i="11"/>
  <c r="N12" i="11"/>
  <c r="AO25" i="12"/>
  <c r="AO17" i="12"/>
  <c r="I17" i="12"/>
  <c r="F28" i="10"/>
  <c r="G21" i="10"/>
  <c r="T21" i="10" s="1"/>
  <c r="G24" i="10"/>
  <c r="T24" i="10" s="1"/>
  <c r="I22" i="10"/>
  <c r="I14" i="10"/>
  <c r="I21" i="10"/>
  <c r="F22" i="10"/>
  <c r="I26" i="10"/>
  <c r="F14" i="10"/>
  <c r="G18" i="10"/>
  <c r="T18" i="10" s="1"/>
  <c r="I18" i="10"/>
  <c r="I25" i="11"/>
  <c r="AO24" i="12"/>
  <c r="AO20" i="12"/>
  <c r="AO16" i="12"/>
  <c r="AO27" i="12"/>
  <c r="AO26" i="12"/>
  <c r="AO14" i="12"/>
  <c r="AO12" i="12"/>
  <c r="AO11" i="12"/>
  <c r="G14" i="12"/>
  <c r="T14" i="12" s="1"/>
  <c r="G13" i="12"/>
  <c r="T13" i="12" s="1"/>
  <c r="N16" i="12"/>
  <c r="N11" i="12"/>
  <c r="AO13" i="12"/>
  <c r="N15" i="12"/>
  <c r="N26" i="12"/>
  <c r="I23" i="12"/>
  <c r="I16" i="12"/>
  <c r="I7" i="12"/>
  <c r="AO22" i="12"/>
  <c r="N18" i="12"/>
  <c r="I26" i="12"/>
  <c r="I25" i="12"/>
  <c r="I20" i="12"/>
  <c r="G19" i="12"/>
  <c r="T19" i="12" s="1"/>
  <c r="N17" i="12"/>
  <c r="G16" i="12"/>
  <c r="T16" i="12" s="1"/>
  <c r="N10" i="12"/>
  <c r="I21" i="12"/>
  <c r="I8" i="12"/>
  <c r="G26" i="12"/>
  <c r="T26" i="12" s="1"/>
  <c r="G20" i="12"/>
  <c r="T20" i="12" s="1"/>
  <c r="G8" i="12"/>
  <c r="T8" i="12" s="1"/>
  <c r="AO9" i="12"/>
  <c r="AO19" i="12"/>
  <c r="G17" i="12"/>
  <c r="T17" i="12" s="1"/>
  <c r="AO18" i="12"/>
  <c r="AO15" i="12"/>
  <c r="AO28" i="12"/>
  <c r="AO21" i="12"/>
  <c r="AO7" i="12"/>
  <c r="AQ17" i="11"/>
  <c r="AQ16" i="11"/>
  <c r="AQ14" i="11"/>
  <c r="I11" i="12"/>
  <c r="N11" i="11"/>
  <c r="N8" i="11"/>
  <c r="N28" i="11"/>
  <c r="I11" i="11"/>
  <c r="N19" i="11"/>
  <c r="I24" i="11"/>
  <c r="G25" i="11"/>
  <c r="T25" i="11" s="1"/>
  <c r="I19" i="11"/>
  <c r="I13" i="11"/>
  <c r="F25" i="11"/>
  <c r="F19" i="11"/>
  <c r="I14" i="11"/>
  <c r="G11" i="11"/>
  <c r="T11" i="11" s="1"/>
  <c r="N18" i="11"/>
  <c r="N16" i="11"/>
  <c r="F11" i="11"/>
  <c r="I8" i="11"/>
  <c r="I16" i="11"/>
  <c r="N22" i="11"/>
  <c r="G17" i="11"/>
  <c r="T17" i="11" s="1"/>
  <c r="I7" i="11"/>
  <c r="I20" i="11"/>
  <c r="N14" i="11"/>
  <c r="I28" i="11"/>
  <c r="I23" i="11"/>
  <c r="G20" i="11"/>
  <c r="T20" i="11" s="1"/>
  <c r="N15" i="11"/>
  <c r="N20" i="11"/>
  <c r="N26" i="11"/>
  <c r="N21" i="11"/>
  <c r="N9" i="11"/>
  <c r="N27" i="11"/>
  <c r="N10" i="11"/>
  <c r="I26" i="11"/>
  <c r="I21" i="11"/>
  <c r="I18" i="11"/>
  <c r="I17" i="11"/>
  <c r="I9" i="11"/>
  <c r="I27" i="11"/>
  <c r="I22" i="11"/>
  <c r="I10" i="11"/>
  <c r="G26" i="11"/>
  <c r="T26" i="11" s="1"/>
  <c r="G23" i="11"/>
  <c r="T23" i="11" s="1"/>
  <c r="G21" i="11"/>
  <c r="T21" i="11" s="1"/>
  <c r="G9" i="11"/>
  <c r="T9" i="11" s="1"/>
  <c r="F23" i="11"/>
  <c r="N13" i="11"/>
  <c r="I12" i="11"/>
  <c r="F13" i="11"/>
  <c r="F24" i="12"/>
  <c r="F18" i="12"/>
  <c r="F12" i="12"/>
  <c r="I24" i="12"/>
  <c r="I18" i="12"/>
  <c r="I12" i="12"/>
  <c r="G24" i="11"/>
  <c r="T24" i="11" s="1"/>
  <c r="G18" i="11"/>
  <c r="T18" i="11" s="1"/>
  <c r="G12" i="11"/>
  <c r="T12" i="11" s="1"/>
  <c r="F24" i="11"/>
  <c r="F18" i="11"/>
  <c r="F12" i="11"/>
  <c r="G7" i="11"/>
  <c r="T7" i="11" s="1"/>
  <c r="I13" i="10"/>
  <c r="I15" i="10"/>
  <c r="G7" i="10"/>
  <c r="T7" i="10" s="1"/>
  <c r="I16" i="10"/>
  <c r="I20" i="10"/>
  <c r="I12" i="10"/>
  <c r="G13" i="10"/>
  <c r="T13" i="10" s="1"/>
  <c r="F23" i="10"/>
  <c r="F27" i="10"/>
  <c r="I11" i="10"/>
  <c r="I23" i="10"/>
  <c r="I17" i="10"/>
  <c r="I19" i="10"/>
  <c r="I24" i="10"/>
  <c r="I25" i="10"/>
  <c r="I27" i="10"/>
  <c r="I28" i="10"/>
  <c r="G9" i="10"/>
  <c r="T9" i="10" s="1"/>
  <c r="F10" i="10"/>
  <c r="I9" i="10"/>
  <c r="G11" i="10"/>
  <c r="T11" i="10" s="1"/>
  <c r="F12" i="10"/>
  <c r="I10" i="10"/>
  <c r="G12" i="10"/>
  <c r="T12" i="10" s="1"/>
  <c r="F13" i="10"/>
  <c r="I8" i="10"/>
  <c r="F11" i="10"/>
  <c r="G15" i="10"/>
  <c r="T15" i="10" s="1"/>
  <c r="F16" i="10"/>
  <c r="G16" i="10"/>
  <c r="T16" i="10" s="1"/>
  <c r="F17" i="10"/>
  <c r="F19" i="10"/>
  <c r="F25" i="10"/>
  <c r="F8" i="10"/>
  <c r="G8" i="10"/>
  <c r="T8" i="10" s="1"/>
  <c r="G19" i="10"/>
  <c r="T19" i="10" s="1"/>
  <c r="F20" i="10"/>
  <c r="G25" i="10"/>
  <c r="T25" i="10" s="1"/>
  <c r="F26" i="10"/>
  <c r="I7" i="10"/>
  <c r="F15" i="10"/>
  <c r="N20" i="19" l="1"/>
  <c r="N12" i="19"/>
  <c r="N10" i="19"/>
  <c r="N22" i="19"/>
  <c r="R16" i="19"/>
  <c r="N19" i="19"/>
  <c r="N24" i="19"/>
  <c r="R12" i="19"/>
  <c r="R8" i="19"/>
  <c r="R23" i="19"/>
  <c r="R22" i="19"/>
  <c r="R19" i="19"/>
  <c r="N18" i="19"/>
  <c r="R14" i="19"/>
  <c r="R10" i="19"/>
  <c r="R17" i="19"/>
  <c r="R7" i="19"/>
  <c r="R25" i="19"/>
  <c r="N15" i="19"/>
  <c r="R29" i="18"/>
  <c r="N26" i="19"/>
  <c r="N7" i="19"/>
  <c r="R29" i="12"/>
  <c r="R27" i="19"/>
  <c r="P29" i="17"/>
  <c r="R20" i="19"/>
  <c r="R24" i="19"/>
  <c r="R9" i="19"/>
  <c r="R13" i="19"/>
  <c r="R26" i="19"/>
  <c r="N27" i="19"/>
  <c r="N13" i="19"/>
  <c r="R18" i="19"/>
  <c r="N17" i="19"/>
  <c r="R15" i="19"/>
  <c r="R29" i="11"/>
  <c r="R29" i="17"/>
  <c r="P29" i="18"/>
  <c r="P29" i="11"/>
  <c r="P29" i="19"/>
  <c r="N29" i="10"/>
  <c r="D5" i="16" s="1"/>
  <c r="C5" i="16" s="1"/>
  <c r="N29" i="20"/>
  <c r="P29" i="20"/>
  <c r="P29" i="10"/>
  <c r="N29" i="17"/>
  <c r="AQ20" i="11"/>
  <c r="F58" i="12"/>
  <c r="G12" i="16" s="1"/>
  <c r="A58" i="12"/>
  <c r="G3" i="16" s="1"/>
  <c r="G5" i="16" s="1"/>
  <c r="D58" i="12"/>
  <c r="G11" i="16" s="1"/>
  <c r="F56" i="10"/>
  <c r="D12" i="16" s="1"/>
  <c r="A56" i="10"/>
  <c r="D3" i="16" s="1"/>
  <c r="F6" i="16"/>
  <c r="G6" i="16"/>
  <c r="D56" i="10"/>
  <c r="D11" i="16" s="1"/>
  <c r="D13" i="16" s="1"/>
  <c r="E7" i="16"/>
  <c r="G7" i="16"/>
  <c r="AN8" i="18"/>
  <c r="G34" i="18" s="1"/>
  <c r="N29" i="18"/>
  <c r="G41" i="11"/>
  <c r="AQ15" i="11"/>
  <c r="AQ27" i="11"/>
  <c r="G39" i="11"/>
  <c r="AQ25" i="11"/>
  <c r="AM19" i="11"/>
  <c r="G45" i="11" s="1"/>
  <c r="D57" i="11"/>
  <c r="F4" i="16" s="1"/>
  <c r="G44" i="11"/>
  <c r="AQ12" i="11"/>
  <c r="I57" i="11"/>
  <c r="F12" i="16" s="1"/>
  <c r="G54" i="11"/>
  <c r="AQ21" i="11"/>
  <c r="AQ11" i="11"/>
  <c r="AQ22" i="11"/>
  <c r="AQ23" i="11"/>
  <c r="A57" i="11"/>
  <c r="F3" i="16" s="1"/>
  <c r="F5" i="16" s="1"/>
  <c r="I57" i="18"/>
  <c r="A58" i="19"/>
  <c r="D57" i="18"/>
  <c r="F58" i="19"/>
  <c r="D58" i="19"/>
  <c r="A56" i="20"/>
  <c r="F56" i="20"/>
  <c r="D56" i="20"/>
  <c r="A57" i="18"/>
  <c r="G44" i="18"/>
  <c r="G43" i="18"/>
  <c r="N29" i="12"/>
  <c r="N29" i="11"/>
  <c r="K28" i="7"/>
  <c r="L28" i="7" s="1"/>
  <c r="R28" i="7" s="1"/>
  <c r="J28" i="7"/>
  <c r="H28" i="7"/>
  <c r="G28" i="7"/>
  <c r="T28" i="7" s="1"/>
  <c r="F28" i="7"/>
  <c r="K27" i="7"/>
  <c r="L27" i="7" s="1"/>
  <c r="R27" i="7" s="1"/>
  <c r="J27" i="7"/>
  <c r="H27" i="7"/>
  <c r="G27" i="7"/>
  <c r="T27" i="7" s="1"/>
  <c r="F27" i="7"/>
  <c r="K26" i="7"/>
  <c r="L26" i="7" s="1"/>
  <c r="J26" i="7"/>
  <c r="H26" i="7"/>
  <c r="G26" i="7"/>
  <c r="T26" i="7" s="1"/>
  <c r="F26" i="7"/>
  <c r="K25" i="7"/>
  <c r="L25" i="7" s="1"/>
  <c r="J25" i="7"/>
  <c r="H25" i="7"/>
  <c r="G25" i="7"/>
  <c r="T25" i="7" s="1"/>
  <c r="F25" i="7"/>
  <c r="K24" i="7"/>
  <c r="L24" i="7" s="1"/>
  <c r="R24" i="7" s="1"/>
  <c r="J24" i="7"/>
  <c r="H24" i="7"/>
  <c r="G24" i="7"/>
  <c r="T24" i="7" s="1"/>
  <c r="F24" i="7"/>
  <c r="K23" i="7"/>
  <c r="L23" i="7" s="1"/>
  <c r="J23" i="7"/>
  <c r="H23" i="7"/>
  <c r="K22" i="7"/>
  <c r="L22" i="7" s="1"/>
  <c r="J22" i="7"/>
  <c r="H22" i="7"/>
  <c r="F22" i="7"/>
  <c r="K21" i="7"/>
  <c r="L21" i="7" s="1"/>
  <c r="J21" i="7"/>
  <c r="H21" i="7"/>
  <c r="AJ21" i="7" s="1"/>
  <c r="F21" i="7"/>
  <c r="K20" i="7"/>
  <c r="L20" i="7" s="1"/>
  <c r="J20" i="7"/>
  <c r="H20" i="7"/>
  <c r="AJ20" i="7" s="1"/>
  <c r="G20" i="7"/>
  <c r="T20" i="7" s="1"/>
  <c r="K19" i="7"/>
  <c r="L19" i="7" s="1"/>
  <c r="J19" i="7"/>
  <c r="H19" i="7"/>
  <c r="AJ19" i="7" s="1"/>
  <c r="K18" i="7"/>
  <c r="L18" i="7" s="1"/>
  <c r="R18" i="7" s="1"/>
  <c r="J18" i="7"/>
  <c r="H18" i="7"/>
  <c r="AJ18" i="7" s="1"/>
  <c r="K17" i="7"/>
  <c r="L17" i="7" s="1"/>
  <c r="J17" i="7"/>
  <c r="H17" i="7"/>
  <c r="AJ17" i="7" s="1"/>
  <c r="G17" i="7"/>
  <c r="T17" i="7" s="1"/>
  <c r="K16" i="7"/>
  <c r="L16" i="7" s="1"/>
  <c r="R16" i="7" s="1"/>
  <c r="J16" i="7"/>
  <c r="H16" i="7"/>
  <c r="AJ16" i="7" s="1"/>
  <c r="G16" i="7"/>
  <c r="T16" i="7" s="1"/>
  <c r="K15" i="7"/>
  <c r="L15" i="7" s="1"/>
  <c r="J15" i="7"/>
  <c r="H15" i="7"/>
  <c r="K14" i="7"/>
  <c r="L14" i="7" s="1"/>
  <c r="R14" i="7" s="1"/>
  <c r="J14" i="7"/>
  <c r="H14" i="7"/>
  <c r="AJ14" i="7" s="1"/>
  <c r="D38" i="7" s="1"/>
  <c r="F14" i="7"/>
  <c r="K13" i="7"/>
  <c r="L13" i="7" s="1"/>
  <c r="J13" i="7"/>
  <c r="H13" i="7"/>
  <c r="F13" i="7"/>
  <c r="K12" i="7"/>
  <c r="L12" i="7" s="1"/>
  <c r="J12" i="7"/>
  <c r="H12" i="7"/>
  <c r="E12" i="7"/>
  <c r="K11" i="7"/>
  <c r="L11" i="7" s="1"/>
  <c r="J11" i="7"/>
  <c r="H11" i="7"/>
  <c r="F11" i="7"/>
  <c r="K10" i="7"/>
  <c r="L10" i="7" s="1"/>
  <c r="J10" i="7"/>
  <c r="H10" i="7"/>
  <c r="AJ10" i="7" s="1"/>
  <c r="E10" i="7"/>
  <c r="K9" i="7"/>
  <c r="L9" i="7" s="1"/>
  <c r="J9" i="7"/>
  <c r="H9" i="7"/>
  <c r="AJ9" i="7" s="1"/>
  <c r="G9" i="7"/>
  <c r="T9" i="7" s="1"/>
  <c r="K8" i="7"/>
  <c r="L8" i="7" s="1"/>
  <c r="J8" i="7"/>
  <c r="H8" i="7"/>
  <c r="AJ8" i="7" s="1"/>
  <c r="L7" i="7"/>
  <c r="J7" i="7"/>
  <c r="H7" i="7"/>
  <c r="AJ7" i="7" s="1"/>
  <c r="L6" i="4"/>
  <c r="F6" i="4"/>
  <c r="D15" i="4"/>
  <c r="J15" i="4"/>
  <c r="D11" i="4"/>
  <c r="D13" i="4"/>
  <c r="J12" i="4"/>
  <c r="D12" i="4"/>
  <c r="L5" i="4"/>
  <c r="F5" i="4"/>
  <c r="J6" i="4"/>
  <c r="D7" i="4"/>
  <c r="R29" i="19" l="1"/>
  <c r="P7" i="7"/>
  <c r="R7" i="7"/>
  <c r="P8" i="7"/>
  <c r="R8" i="7"/>
  <c r="P9" i="7"/>
  <c r="R9" i="7"/>
  <c r="P10" i="7"/>
  <c r="R10" i="7"/>
  <c r="P11" i="7"/>
  <c r="R11" i="7"/>
  <c r="P12" i="7"/>
  <c r="R12" i="7"/>
  <c r="P13" i="7"/>
  <c r="R13" i="7"/>
  <c r="P15" i="7"/>
  <c r="R15" i="7"/>
  <c r="P17" i="7"/>
  <c r="R17" i="7"/>
  <c r="P19" i="7"/>
  <c r="R19" i="7"/>
  <c r="P20" i="7"/>
  <c r="R20" i="7"/>
  <c r="P21" i="7"/>
  <c r="R21" i="7"/>
  <c r="P22" i="7"/>
  <c r="R22" i="7"/>
  <c r="P23" i="7"/>
  <c r="R23" i="7"/>
  <c r="P25" i="7"/>
  <c r="R25" i="7"/>
  <c r="P26" i="7"/>
  <c r="R26" i="7"/>
  <c r="N24" i="7"/>
  <c r="P24" i="7"/>
  <c r="N14" i="7"/>
  <c r="P14" i="7"/>
  <c r="N28" i="7"/>
  <c r="P28" i="7"/>
  <c r="N16" i="7"/>
  <c r="P16" i="7"/>
  <c r="N27" i="7"/>
  <c r="P27" i="7"/>
  <c r="N18" i="7"/>
  <c r="P18" i="7"/>
  <c r="AQ19" i="11"/>
  <c r="G57" i="11"/>
  <c r="F11" i="16" s="1"/>
  <c r="G13" i="16"/>
  <c r="G12" i="7"/>
  <c r="T12" i="7" s="1"/>
  <c r="A36" i="7"/>
  <c r="F36" i="7"/>
  <c r="D36" i="7"/>
  <c r="AN18" i="7"/>
  <c r="D42" i="7"/>
  <c r="AN7" i="7"/>
  <c r="D31" i="7"/>
  <c r="D43" i="7"/>
  <c r="AN19" i="7"/>
  <c r="AN20" i="7"/>
  <c r="D44" i="7"/>
  <c r="D45" i="7"/>
  <c r="AN21" i="7"/>
  <c r="A34" i="7"/>
  <c r="F34" i="7"/>
  <c r="D34" i="7"/>
  <c r="AN16" i="7"/>
  <c r="D40" i="7"/>
  <c r="D32" i="7"/>
  <c r="AN8" i="7"/>
  <c r="AN9" i="7"/>
  <c r="D33" i="7"/>
  <c r="AN17" i="7"/>
  <c r="D41" i="7"/>
  <c r="F13" i="16"/>
  <c r="G57" i="18"/>
  <c r="N21" i="7"/>
  <c r="N7" i="7"/>
  <c r="I8" i="7"/>
  <c r="I27" i="7"/>
  <c r="I28" i="7"/>
  <c r="I26" i="7"/>
  <c r="I25" i="7"/>
  <c r="I24" i="7"/>
  <c r="I19" i="7"/>
  <c r="I23" i="7"/>
  <c r="I10" i="7"/>
  <c r="N25" i="7"/>
  <c r="N26" i="7"/>
  <c r="I12" i="7"/>
  <c r="I18" i="7"/>
  <c r="I9" i="7"/>
  <c r="N13" i="7"/>
  <c r="N10" i="7"/>
  <c r="I7" i="7"/>
  <c r="N9" i="7"/>
  <c r="N12" i="7"/>
  <c r="N15" i="7"/>
  <c r="G22" i="7"/>
  <c r="T22" i="7" s="1"/>
  <c r="I22" i="7"/>
  <c r="N8" i="7"/>
  <c r="G14" i="7"/>
  <c r="T14" i="7" s="1"/>
  <c r="F17" i="7"/>
  <c r="N19" i="7"/>
  <c r="N22" i="7"/>
  <c r="F9" i="7"/>
  <c r="N11" i="7"/>
  <c r="I17" i="7"/>
  <c r="I20" i="7"/>
  <c r="I14" i="7"/>
  <c r="I15" i="7"/>
  <c r="N17" i="7"/>
  <c r="N20" i="7"/>
  <c r="N23" i="7"/>
  <c r="G11" i="7"/>
  <c r="T11" i="7" s="1"/>
  <c r="G21" i="7"/>
  <c r="T21" i="7" s="1"/>
  <c r="F18" i="7"/>
  <c r="G10" i="7"/>
  <c r="T10" i="7" s="1"/>
  <c r="I13" i="7"/>
  <c r="G18" i="7"/>
  <c r="T18" i="7" s="1"/>
  <c r="I21" i="7"/>
  <c r="F7" i="7"/>
  <c r="F15" i="7"/>
  <c r="F23" i="7"/>
  <c r="G15" i="7"/>
  <c r="T15" i="7" s="1"/>
  <c r="G23" i="7"/>
  <c r="T23" i="7" s="1"/>
  <c r="F12" i="7"/>
  <c r="F8" i="7"/>
  <c r="F16" i="7"/>
  <c r="G8" i="7"/>
  <c r="T8" i="7" s="1"/>
  <c r="I11" i="7"/>
  <c r="G13" i="7"/>
  <c r="T13" i="7" s="1"/>
  <c r="I16" i="7"/>
  <c r="F10" i="7"/>
  <c r="G7" i="7"/>
  <c r="T7" i="7" s="1"/>
  <c r="F20" i="7"/>
  <c r="F19" i="7"/>
  <c r="G19" i="7"/>
  <c r="T19" i="7" s="1"/>
  <c r="J5" i="4"/>
  <c r="J7" i="4"/>
  <c r="D14" i="4"/>
  <c r="J14" i="4" s="1"/>
  <c r="J9" i="4"/>
  <c r="J8" i="4"/>
  <c r="D8" i="4"/>
  <c r="J16" i="4"/>
  <c r="D16" i="4"/>
  <c r="J13" i="4"/>
  <c r="J11" i="4"/>
  <c r="P29" i="7" l="1"/>
  <c r="R29" i="7"/>
  <c r="F55" i="7"/>
  <c r="E12" i="16" s="1"/>
  <c r="A55" i="7"/>
  <c r="E3" i="16" s="1"/>
  <c r="E5" i="16" s="1"/>
  <c r="D55" i="7"/>
  <c r="E11" i="16" s="1"/>
  <c r="E13" i="16" s="1"/>
  <c r="N29" i="7"/>
  <c r="J10" i="4"/>
  <c r="L18" i="4"/>
  <c r="F18" i="4"/>
  <c r="D10" i="4" l="1"/>
  <c r="H5" i="1"/>
  <c r="L19" i="4"/>
  <c r="G5" i="1"/>
  <c r="F19" i="4"/>
  <c r="J17" i="4" l="1"/>
  <c r="J18" i="4" s="1"/>
  <c r="D17" i="4"/>
  <c r="D18" i="4" s="1"/>
  <c r="G4" i="1" s="1"/>
  <c r="G7" i="1" s="1"/>
  <c r="J19" i="4" l="1"/>
  <c r="H4" i="1"/>
  <c r="H7" i="1" s="1"/>
  <c r="D19" i="4"/>
  <c r="G6" i="1"/>
  <c r="H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ryan7</author>
  </authors>
  <commentList>
    <comment ref="N29" authorId="0" shapeId="0" xr:uid="{133BA7AF-E1E1-4A46-8A09-736A869E170A}">
      <text>
        <r>
          <rPr>
            <b/>
            <sz val="9"/>
            <color indexed="81"/>
            <rFont val="Tahoma"/>
            <family val="2"/>
          </rPr>
          <t>ryan7:</t>
        </r>
        <r>
          <rPr>
            <sz val="9"/>
            <color indexed="81"/>
            <rFont val="Tahoma"/>
            <family val="2"/>
          </rPr>
          <t xml:space="preserve">
Niet *2 want het aantal vluchten is al *2 gedaan bij frequency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ryan7</author>
  </authors>
  <commentList>
    <comment ref="N29" authorId="0" shapeId="0" xr:uid="{F66956E8-42C9-497B-AF42-5E7924ECDE18}">
      <text>
        <r>
          <rPr>
            <b/>
            <sz val="9"/>
            <color indexed="81"/>
            <rFont val="Tahoma"/>
            <family val="2"/>
          </rPr>
          <t>ryan7:</t>
        </r>
        <r>
          <rPr>
            <sz val="9"/>
            <color indexed="81"/>
            <rFont val="Tahoma"/>
            <family val="2"/>
          </rPr>
          <t xml:space="preserve">
Niet *2 want het aantal vluchten is al *2 gedaan bij frequency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ryan7</author>
  </authors>
  <commentList>
    <comment ref="Z7" authorId="0" shapeId="0" xr:uid="{9562D80D-F946-47A5-BFF3-61558B295393}">
      <text>
        <r>
          <rPr>
            <b/>
            <sz val="9"/>
            <color indexed="81"/>
            <rFont val="Tahoma"/>
            <family val="2"/>
          </rPr>
          <t>ryan7:</t>
        </r>
        <r>
          <rPr>
            <sz val="9"/>
            <color indexed="81"/>
            <rFont val="Tahoma"/>
            <family val="2"/>
          </rPr>
          <t xml:space="preserve">
43 HEFA heat value
</t>
        </r>
      </text>
    </comment>
    <comment ref="N29" authorId="0" shapeId="0" xr:uid="{ADEE2F08-8DCE-4AFA-A864-1C043E1A05D7}">
      <text>
        <r>
          <rPr>
            <b/>
            <sz val="9"/>
            <color indexed="81"/>
            <rFont val="Tahoma"/>
            <family val="2"/>
          </rPr>
          <t>ryan7:</t>
        </r>
        <r>
          <rPr>
            <sz val="9"/>
            <color indexed="81"/>
            <rFont val="Tahoma"/>
            <family val="2"/>
          </rPr>
          <t xml:space="preserve">
Niet *2 want het aantal vluchten is al *2 gedaan bij frequency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ryan7</author>
  </authors>
  <commentList>
    <comment ref="Z7" authorId="0" shapeId="0" xr:uid="{7CD1D4B1-CD5A-4BBE-ABEA-39E5A67DAD83}">
      <text>
        <r>
          <rPr>
            <b/>
            <sz val="9"/>
            <color indexed="81"/>
            <rFont val="Tahoma"/>
            <family val="2"/>
          </rPr>
          <t>ryan7:</t>
        </r>
        <r>
          <rPr>
            <sz val="9"/>
            <color indexed="81"/>
            <rFont val="Tahoma"/>
            <family val="2"/>
          </rPr>
          <t xml:space="preserve">
43 HEFA heat value
</t>
        </r>
      </text>
    </comment>
    <comment ref="N29" authorId="0" shapeId="0" xr:uid="{1A2F5C9E-6249-47C6-B64F-6882BD8AF686}">
      <text>
        <r>
          <rPr>
            <b/>
            <sz val="9"/>
            <color indexed="81"/>
            <rFont val="Tahoma"/>
            <family val="2"/>
          </rPr>
          <t>ryan7:</t>
        </r>
        <r>
          <rPr>
            <sz val="9"/>
            <color indexed="81"/>
            <rFont val="Tahoma"/>
            <family val="2"/>
          </rPr>
          <t xml:space="preserve">
Niet *2 want het aantal vluchten is al *2 gedaan bij frequency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ryan7</author>
  </authors>
  <commentList>
    <comment ref="N29" authorId="0" shapeId="0" xr:uid="{D328731C-C48A-4A2B-AC8D-4A8D97BA6735}">
      <text>
        <r>
          <rPr>
            <b/>
            <sz val="9"/>
            <color indexed="81"/>
            <rFont val="Tahoma"/>
            <family val="2"/>
          </rPr>
          <t>ryan7:</t>
        </r>
        <r>
          <rPr>
            <sz val="9"/>
            <color indexed="81"/>
            <rFont val="Tahoma"/>
            <family val="2"/>
          </rPr>
          <t xml:space="preserve">
Niet *2 want het aantal vluchten is al *2 gedaan bij frequency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ryan7</author>
  </authors>
  <commentList>
    <comment ref="N29" authorId="0" shapeId="0" xr:uid="{2B128195-2D81-4D16-9D0D-DF7A6F26121E}">
      <text>
        <r>
          <rPr>
            <b/>
            <sz val="9"/>
            <color indexed="81"/>
            <rFont val="Tahoma"/>
            <family val="2"/>
          </rPr>
          <t>ryan7:</t>
        </r>
        <r>
          <rPr>
            <sz val="9"/>
            <color indexed="81"/>
            <rFont val="Tahoma"/>
            <family val="2"/>
          </rPr>
          <t xml:space="preserve">
Niet *2 want het aantal vluchten is al *2 gedaan bij frequency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Quinten Outhuijse</author>
  </authors>
  <commentList>
    <comment ref="D3" authorId="0" shapeId="0" xr:uid="{5316EE81-7F61-4CC4-A7AD-22A41DB179A7}">
      <text>
        <r>
          <rPr>
            <sz val="11"/>
            <color theme="1"/>
            <rFont val="Aptos Narrow"/>
            <family val="2"/>
            <scheme val="minor"/>
          </rPr>
          <t>Quinten Outhuijse:
SOM((frequency*fuel)/1000)</t>
        </r>
      </text>
    </comment>
    <comment ref="F4" authorId="0" shapeId="0" xr:uid="{241E17F5-3028-438F-BDD5-3E6778EE1A98}">
      <text>
        <r>
          <rPr>
            <sz val="11"/>
            <color theme="1"/>
            <rFont val="Aptos Narrow"/>
            <family val="2"/>
            <scheme val="minor"/>
          </rPr>
          <t>Quinten Outhuijse:
SOM((frequency*equivelant energy value)/1000)</t>
        </r>
      </text>
    </comment>
    <comment ref="E5" authorId="0" shapeId="0" xr:uid="{5F215825-6A26-4EB6-8BF0-B2364C5FC921}">
      <text>
        <r>
          <rPr>
            <sz val="11"/>
            <color theme="1"/>
            <rFont val="Aptos Narrow"/>
            <family val="2"/>
            <scheme val="minor"/>
          </rPr>
          <t xml:space="preserve">Quinten Outhuijse:
Total fuel*SAF ELFEC CO2
</t>
        </r>
      </text>
    </comment>
    <comment ref="F5" authorId="0" shapeId="0" xr:uid="{16EC7EED-7597-45E4-B5C6-A99071C7B2EB}">
      <text>
        <r>
          <rPr>
            <sz val="11"/>
            <color theme="1"/>
            <rFont val="Aptos Narrow"/>
            <family val="2"/>
            <scheme val="minor"/>
          </rPr>
          <t xml:space="preserve">Quinten Outhuijse:
(Total fuel*SAF ELFEC CO2) + (Total fuel Kw* CO2 emissions)
</t>
        </r>
      </text>
    </comment>
    <comment ref="D6" authorId="0" shapeId="0" xr:uid="{5BD1E62F-D36F-4AC9-8696-ADE16D3457B6}">
      <text>
        <r>
          <rPr>
            <sz val="11"/>
            <color theme="1"/>
            <rFont val="Aptos Narrow"/>
            <family val="2"/>
            <scheme val="minor"/>
          </rPr>
          <t>Quinten Outhuijse:
SOM(yearly frequency short haul)*seats short haul+ SOM(yearly frequency long haul)* seats long haul</t>
        </r>
      </text>
    </comment>
    <comment ref="D7" authorId="0" shapeId="0" xr:uid="{0DC991B6-F33C-4B61-B56B-4A836BEE11E2}">
      <text>
        <r>
          <rPr>
            <sz val="11"/>
            <color theme="1"/>
            <rFont val="Aptos Narrow"/>
            <family val="2"/>
            <scheme val="minor"/>
          </rPr>
          <t>Quinten Outhuijse:
SOM(yearly frequency short haul)*freight tons short haul+ SOM(yearly frequency long haul)* freight tons long haul</t>
        </r>
      </text>
    </comment>
    <comment ref="D11" authorId="0" shapeId="0" xr:uid="{D0187386-AC43-473E-B790-D4C936B357F6}">
      <text>
        <r>
          <rPr>
            <sz val="11"/>
            <color theme="1"/>
            <rFont val="Aptos Narrow"/>
            <family val="2"/>
            <scheme val="minor"/>
          </rPr>
          <t>Quinten Outhuijse:
SOM(frequency*total costs)</t>
        </r>
      </text>
    </comment>
    <comment ref="D12" authorId="0" shapeId="0" xr:uid="{E4C78E35-508B-4496-BFD8-A0DC8AC51235}">
      <text>
        <r>
          <rPr>
            <sz val="11"/>
            <color theme="1"/>
            <rFont val="Aptos Narrow"/>
            <family val="2"/>
            <scheme val="minor"/>
          </rPr>
          <t>Quinten Outhuijse:
SOM(frequency*total revenue)</t>
        </r>
      </text>
    </comment>
    <comment ref="D13" authorId="0" shapeId="0" xr:uid="{420495BF-6F5C-4931-9FF7-59C92886875C}">
      <text>
        <r>
          <rPr>
            <sz val="11"/>
            <color theme="1"/>
            <rFont val="Aptos Narrow"/>
            <family val="2"/>
            <scheme val="minor"/>
          </rPr>
          <t xml:space="preserve">Quinten Outhuijse:
((revenue-cost)/cost)*100
</t>
        </r>
      </text>
    </comment>
  </commentList>
</comments>
</file>

<file path=xl/sharedStrings.xml><?xml version="1.0" encoding="utf-8"?>
<sst xmlns="http://schemas.openxmlformats.org/spreadsheetml/2006/main" count="1129" uniqueCount="192">
  <si>
    <t>97% Jet-A1 &amp; 3% SAF</t>
  </si>
  <si>
    <t>Crew costs</t>
  </si>
  <si>
    <t>Costs</t>
  </si>
  <si>
    <t>Revenue</t>
  </si>
  <si>
    <t>Destination</t>
  </si>
  <si>
    <t>Aircraft</t>
  </si>
  <si>
    <t>Fuel type</t>
  </si>
  <si>
    <t>Frequency [per year]</t>
  </si>
  <si>
    <t># retour</t>
  </si>
  <si>
    <t># flights</t>
  </si>
  <si>
    <t>Lookup: Distance [km]</t>
  </si>
  <si>
    <t>Total distance travelled [km]</t>
  </si>
  <si>
    <t>Lookup: Flight Type</t>
  </si>
  <si>
    <t>Lookup: fuel consumption [l/100km]</t>
  </si>
  <si>
    <t>Conditional: Total fuel consumption [l]</t>
  </si>
  <si>
    <t>SAF LFEC CO2 per kg [kg/kg]</t>
  </si>
  <si>
    <t>Total CO2 emmission [kg] (tons)</t>
  </si>
  <si>
    <t>NOX per KG</t>
  </si>
  <si>
    <t>Total NOX emmision(Tons)</t>
  </si>
  <si>
    <t>Sox per KG</t>
  </si>
  <si>
    <t>Total Sox emmission(Ton)</t>
  </si>
  <si>
    <t>Seats</t>
  </si>
  <si>
    <t>Passengers per year</t>
  </si>
  <si>
    <t>Available cargo (Tons)</t>
  </si>
  <si>
    <t>Flight time</t>
  </si>
  <si>
    <t>Fuel</t>
  </si>
  <si>
    <t>jet-A1 Fuel</t>
  </si>
  <si>
    <t>Jet-A1 price</t>
  </si>
  <si>
    <t>SAF fuel</t>
  </si>
  <si>
    <t>SAF price</t>
  </si>
  <si>
    <t>Ticket price</t>
  </si>
  <si>
    <t>Pilot</t>
  </si>
  <si>
    <t>Cabin crew</t>
  </si>
  <si>
    <t>Freight rate (Euro/KG)</t>
  </si>
  <si>
    <t>Airport &amp; Navigation charges</t>
  </si>
  <si>
    <t>Maintenance costs</t>
  </si>
  <si>
    <t>Maintenance reserve</t>
  </si>
  <si>
    <t>Operational lease</t>
  </si>
  <si>
    <t>catering and inflight services</t>
  </si>
  <si>
    <t>Insurance and overhead</t>
  </si>
  <si>
    <t>Total costs</t>
  </si>
  <si>
    <t>Passenger revenu</t>
  </si>
  <si>
    <t>Cargo revenu</t>
  </si>
  <si>
    <t>Total revenue</t>
  </si>
  <si>
    <t>1 ALC</t>
  </si>
  <si>
    <t>Fokker 100</t>
  </si>
  <si>
    <t>SAF</t>
  </si>
  <si>
    <r>
      <t xml:space="preserve">2 </t>
    </r>
    <r>
      <rPr>
        <sz val="11"/>
        <color theme="1"/>
        <rFont val="Aptos Narrow"/>
        <family val="2"/>
        <scheme val="minor"/>
      </rPr>
      <t>ARN</t>
    </r>
  </si>
  <si>
    <r>
      <t xml:space="preserve">3 </t>
    </r>
    <r>
      <rPr>
        <sz val="11"/>
        <color theme="1"/>
        <rFont val="Aptos Narrow"/>
        <family val="2"/>
        <scheme val="minor"/>
      </rPr>
      <t>BCN</t>
    </r>
  </si>
  <si>
    <r>
      <t xml:space="preserve">4 </t>
    </r>
    <r>
      <rPr>
        <sz val="11"/>
        <color theme="1"/>
        <rFont val="Aptos Narrow"/>
        <family val="2"/>
        <scheme val="minor"/>
      </rPr>
      <t>BRU</t>
    </r>
  </si>
  <si>
    <r>
      <t xml:space="preserve">5 </t>
    </r>
    <r>
      <rPr>
        <sz val="11"/>
        <color theme="1"/>
        <rFont val="Aptos Narrow"/>
        <family val="2"/>
        <scheme val="minor"/>
      </rPr>
      <t>BSL</t>
    </r>
  </si>
  <si>
    <r>
      <t xml:space="preserve">6 </t>
    </r>
    <r>
      <rPr>
        <sz val="11"/>
        <color theme="1"/>
        <rFont val="Aptos Narrow"/>
        <family val="2"/>
        <scheme val="minor"/>
      </rPr>
      <t>CDG</t>
    </r>
  </si>
  <si>
    <r>
      <t xml:space="preserve">7 </t>
    </r>
    <r>
      <rPr>
        <sz val="11"/>
        <color theme="1"/>
        <rFont val="Aptos Narrow"/>
        <family val="2"/>
        <scheme val="minor"/>
      </rPr>
      <t>DUB</t>
    </r>
  </si>
  <si>
    <r>
      <t xml:space="preserve">8 </t>
    </r>
    <r>
      <rPr>
        <sz val="11"/>
        <color theme="1"/>
        <rFont val="Aptos Narrow"/>
        <family val="2"/>
        <scheme val="minor"/>
      </rPr>
      <t>FAO</t>
    </r>
  </si>
  <si>
    <r>
      <t xml:space="preserve">9 </t>
    </r>
    <r>
      <rPr>
        <sz val="11"/>
        <color theme="1"/>
        <rFont val="Aptos Narrow"/>
        <family val="2"/>
        <scheme val="minor"/>
      </rPr>
      <t>LIS</t>
    </r>
  </si>
  <si>
    <r>
      <t xml:space="preserve">10 </t>
    </r>
    <r>
      <rPr>
        <sz val="11"/>
        <color theme="1"/>
        <rFont val="Aptos Narrow"/>
        <family val="2"/>
        <scheme val="minor"/>
      </rPr>
      <t>MUC</t>
    </r>
  </si>
  <si>
    <r>
      <t xml:space="preserve">11 </t>
    </r>
    <r>
      <rPr>
        <sz val="11"/>
        <color theme="1"/>
        <rFont val="Aptos Narrow"/>
        <family val="2"/>
        <scheme val="minor"/>
      </rPr>
      <t>OSL</t>
    </r>
  </si>
  <si>
    <r>
      <t xml:space="preserve">12 </t>
    </r>
    <r>
      <rPr>
        <sz val="11"/>
        <color theme="1"/>
        <rFont val="Aptos Narrow"/>
        <family val="2"/>
        <scheme val="minor"/>
      </rPr>
      <t>PMI</t>
    </r>
  </si>
  <si>
    <r>
      <t xml:space="preserve">13 </t>
    </r>
    <r>
      <rPr>
        <sz val="11"/>
        <color theme="1"/>
        <rFont val="Aptos Narrow"/>
        <family val="2"/>
        <scheme val="minor"/>
      </rPr>
      <t>VIE</t>
    </r>
  </si>
  <si>
    <r>
      <t xml:space="preserve">14 </t>
    </r>
    <r>
      <rPr>
        <sz val="11"/>
        <color theme="1"/>
        <rFont val="Aptos Narrow"/>
        <family val="2"/>
        <scheme val="minor"/>
      </rPr>
      <t>WAW</t>
    </r>
  </si>
  <si>
    <r>
      <t xml:space="preserve">15 </t>
    </r>
    <r>
      <rPr>
        <sz val="11"/>
        <color theme="1"/>
        <rFont val="Aptos Narrow"/>
        <family val="2"/>
        <scheme val="minor"/>
      </rPr>
      <t>ZRH</t>
    </r>
  </si>
  <si>
    <t>16 BKK</t>
  </si>
  <si>
    <t>B777-200er</t>
  </si>
  <si>
    <t>17 MFM</t>
  </si>
  <si>
    <t>18 HAN</t>
  </si>
  <si>
    <t>19 PTY</t>
  </si>
  <si>
    <t>20 MEX</t>
  </si>
  <si>
    <t>21 GIG</t>
  </si>
  <si>
    <t>22 CPT</t>
  </si>
  <si>
    <t>yearly fuel ussage [tons]</t>
  </si>
  <si>
    <t>yearly costs</t>
  </si>
  <si>
    <t>yearly revenue</t>
  </si>
  <si>
    <t>sum</t>
  </si>
  <si>
    <t>CO2 Price(KG/TON)</t>
  </si>
  <si>
    <t xml:space="preserve">100% SAF </t>
  </si>
  <si>
    <t>Revenu</t>
  </si>
  <si>
    <t>HEFA</t>
  </si>
  <si>
    <t>Passenger revenue</t>
  </si>
  <si>
    <t>Cargo revenue</t>
  </si>
  <si>
    <t>Total revenuee</t>
  </si>
  <si>
    <t>marge</t>
  </si>
  <si>
    <t>Hybrid</t>
  </si>
  <si>
    <t>Total CO2 emmission (tons)</t>
  </si>
  <si>
    <t xml:space="preserve">Fuel </t>
  </si>
  <si>
    <t xml:space="preserve">Fuel HEFA </t>
  </si>
  <si>
    <t>HEFA Costs</t>
  </si>
  <si>
    <t>Fuel Equivalent Electrics</t>
  </si>
  <si>
    <t>Electricity costs</t>
  </si>
  <si>
    <t>yearly energy ussage [kW]</t>
  </si>
  <si>
    <t>Hydrogen</t>
  </si>
  <si>
    <t>Hydrogen costs</t>
  </si>
  <si>
    <t xml:space="preserve"> </t>
  </si>
  <si>
    <t>Input</t>
  </si>
  <si>
    <t>Output</t>
  </si>
  <si>
    <t>Flight plan</t>
  </si>
  <si>
    <t>Available seats</t>
  </si>
  <si>
    <t>[-]</t>
  </si>
  <si>
    <t>Distance</t>
  </si>
  <si>
    <t>[km]</t>
  </si>
  <si>
    <t>Total cost</t>
  </si>
  <si>
    <t>[keuro]</t>
  </si>
  <si>
    <t>Available cargo</t>
  </si>
  <si>
    <t>[ton]</t>
  </si>
  <si>
    <t>Total revenu</t>
  </si>
  <si>
    <t>flight time</t>
  </si>
  <si>
    <t>[hrs]</t>
  </si>
  <si>
    <t>Profit</t>
  </si>
  <si>
    <t>Number of stops</t>
  </si>
  <si>
    <t>Profitmargin</t>
  </si>
  <si>
    <t>[%]</t>
  </si>
  <si>
    <t>Stopover time</t>
  </si>
  <si>
    <t>Mix</t>
  </si>
  <si>
    <t>[% jet A/HEFA]</t>
  </si>
  <si>
    <t>Jet A</t>
  </si>
  <si>
    <t>eSAF</t>
  </si>
  <si>
    <t>Electricity</t>
  </si>
  <si>
    <t>[MWh]</t>
  </si>
  <si>
    <t>Crew</t>
  </si>
  <si>
    <t>cabin crew</t>
  </si>
  <si>
    <t>Emissions</t>
  </si>
  <si>
    <t>CO2</t>
  </si>
  <si>
    <t>Finance</t>
  </si>
  <si>
    <t>[euro/pax]</t>
  </si>
  <si>
    <t>Freight rate</t>
  </si>
  <si>
    <t>[euro/kg]</t>
  </si>
  <si>
    <t>Debet</t>
  </si>
  <si>
    <t>Credit</t>
  </si>
  <si>
    <t>MWh</t>
  </si>
  <si>
    <t>H2</t>
  </si>
  <si>
    <t>Airport &amp; navigation charges</t>
  </si>
  <si>
    <t>Airport charges</t>
  </si>
  <si>
    <t>Maintenance cost</t>
  </si>
  <si>
    <t>Operational Lease</t>
  </si>
  <si>
    <t>Catering and in-flight services</t>
  </si>
  <si>
    <t>Insurance &amp; overhead</t>
  </si>
  <si>
    <t>Total</t>
  </si>
  <si>
    <t>CASK</t>
  </si>
  <si>
    <t>RASK</t>
  </si>
  <si>
    <t>cts</t>
  </si>
  <si>
    <t>load factor</t>
  </si>
  <si>
    <t>-</t>
  </si>
  <si>
    <t>jet A</t>
  </si>
  <si>
    <t>euro/kg</t>
  </si>
  <si>
    <t>euro/MWh</t>
  </si>
  <si>
    <t>euro/pax</t>
  </si>
  <si>
    <t>Navigation charges</t>
  </si>
  <si>
    <t>euro/km</t>
  </si>
  <si>
    <t>CO2 price</t>
  </si>
  <si>
    <t>euro/ton</t>
  </si>
  <si>
    <t>pilot salary</t>
  </si>
  <si>
    <t>euro/year</t>
  </si>
  <si>
    <t>crew member salary</t>
  </si>
  <si>
    <t>euro/ flight hour</t>
  </si>
  <si>
    <t>Catering cost per pax</t>
  </si>
  <si>
    <t>Average aircraft cost per passenger</t>
  </si>
  <si>
    <t>Average life service time</t>
  </si>
  <si>
    <t>years</t>
  </si>
  <si>
    <t>Residual value</t>
  </si>
  <si>
    <t>% of original value</t>
  </si>
  <si>
    <t>average nr flight hours</t>
  </si>
  <si>
    <t>hrs/year</t>
  </si>
  <si>
    <t>Technical feasibility</t>
  </si>
  <si>
    <t>Legislation</t>
  </si>
  <si>
    <t>Baseline</t>
  </si>
  <si>
    <t>++</t>
  </si>
  <si>
    <t>+</t>
  </si>
  <si>
    <t>Scenario 1 (100% SAF)</t>
  </si>
  <si>
    <t>++/-</t>
  </si>
  <si>
    <t>Scenario 2 (SAF ELEC HYBRID)</t>
  </si>
  <si>
    <t>+/-</t>
  </si>
  <si>
    <t>Scenario 3 (HYDROGEN)</t>
  </si>
  <si>
    <t>Group</t>
  </si>
  <si>
    <t>KPI</t>
  </si>
  <si>
    <t>Requirement</t>
  </si>
  <si>
    <t>Strategy 1</t>
  </si>
  <si>
    <t>Strategy 2</t>
  </si>
  <si>
    <t>Strategy 3</t>
  </si>
  <si>
    <t>year</t>
  </si>
  <si>
    <t>sustainability</t>
  </si>
  <si>
    <t>Total fuel [tons]</t>
  </si>
  <si>
    <t>No requirement</t>
  </si>
  <si>
    <t>Total fuel [kW]</t>
  </si>
  <si>
    <t>Total CO2 emissions [tons]</t>
  </si>
  <si>
    <t>Available cargo [tons]</t>
  </si>
  <si>
    <t>Feasibility</t>
  </si>
  <si>
    <t>Technical</t>
  </si>
  <si>
    <t>Regulatory</t>
  </si>
  <si>
    <t>Safety</t>
  </si>
  <si>
    <t>Financial</t>
  </si>
  <si>
    <t>Total costs [euro]</t>
  </si>
  <si>
    <t>Revenue [euro]</t>
  </si>
  <si>
    <t>Profit [% w.r.t. total cost]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</si>
</sst>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€&quot;* #,##0.00_-;\-&quot;€&quot;* #,##0.00_-;_-&quot;€&quot;* &quot;-&quot;??_-;_-@_-"/>
    <numFmt numFmtId="164" formatCode="0.0"/>
    <numFmt numFmtId="165" formatCode="_-&quot;€&quot;* #,##0.0_-;\-&quot;€&quot;* #,##0.0_-;_-&quot;€&quot;* &quot;-&quot;??_-;_-@_-"/>
    <numFmt numFmtId="166" formatCode="_-&quot;€&quot;* #,##0_-;\-&quot;€&quot;* #,##0_-;_-&quot;€&quot;* &quot;-&quot;??_-;_-@_-"/>
    <numFmt numFmtId="167" formatCode="&quot;€&quot;\ #,##0.00"/>
    <numFmt numFmtId="168" formatCode="_(* #,##0.0_);_(* \(#,##0.0\);_(* &quot;-&quot;?_);_(@_)"/>
    <numFmt numFmtId="169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6"/>
      <color theme="1"/>
      <name val="Aptos"/>
      <family val="2"/>
    </font>
    <font>
      <sz val="11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  <family val="2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  <xf numFmtId="9" fontId="0" fillId="0" borderId="0" xfId="1" applyFont="1"/>
    <xf numFmtId="164" fontId="0" fillId="0" borderId="0" xfId="0" applyNumberFormat="1"/>
    <xf numFmtId="0" fontId="3" fillId="0" borderId="0" xfId="2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center"/>
    </xf>
    <xf numFmtId="164" fontId="4" fillId="0" borderId="0" xfId="0" applyNumberFormat="1" applyFont="1"/>
    <xf numFmtId="164" fontId="5" fillId="0" borderId="0" xfId="0" applyNumberFormat="1" applyFont="1" applyAlignment="1">
      <alignment horizontal="center"/>
    </xf>
    <xf numFmtId="9" fontId="5" fillId="0" borderId="0" xfId="1" applyFont="1"/>
    <xf numFmtId="9" fontId="0" fillId="0" borderId="0" xfId="0" applyNumberFormat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center" textRotation="90"/>
    </xf>
    <xf numFmtId="0" fontId="0" fillId="3" borderId="0" xfId="0" applyFill="1"/>
    <xf numFmtId="0" fontId="9" fillId="4" borderId="0" xfId="0" applyFont="1" applyFill="1"/>
    <xf numFmtId="0" fontId="2" fillId="4" borderId="0" xfId="0" applyFont="1" applyFill="1"/>
    <xf numFmtId="0" fontId="0" fillId="4" borderId="1" xfId="0" applyFill="1" applyBorder="1" applyAlignment="1">
      <alignment horizontal="center"/>
    </xf>
    <xf numFmtId="0" fontId="2" fillId="5" borderId="0" xfId="0" applyFont="1" applyFill="1"/>
    <xf numFmtId="0" fontId="0" fillId="6" borderId="0" xfId="0" applyFill="1"/>
    <xf numFmtId="0" fontId="2" fillId="6" borderId="0" xfId="0" applyFont="1" applyFill="1"/>
    <xf numFmtId="0" fontId="0" fillId="6" borderId="1" xfId="0" applyFill="1" applyBorder="1" applyAlignment="1">
      <alignment horizontal="center"/>
    </xf>
    <xf numFmtId="0" fontId="10" fillId="0" borderId="0" xfId="0" applyFont="1" applyAlignment="1">
      <alignment horizontal="center" textRotation="90"/>
    </xf>
    <xf numFmtId="0" fontId="11" fillId="0" borderId="0" xfId="0" applyFont="1" applyAlignment="1">
      <alignment horizontal="center" textRotation="90"/>
    </xf>
    <xf numFmtId="0" fontId="12" fillId="0" borderId="0" xfId="0" applyFont="1" applyAlignment="1">
      <alignment horizontal="center" textRotation="90"/>
    </xf>
    <xf numFmtId="0" fontId="13" fillId="0" borderId="0" xfId="0" applyFont="1" applyAlignment="1">
      <alignment horizontal="center" textRotation="90"/>
    </xf>
    <xf numFmtId="0" fontId="0" fillId="2" borderId="0" xfId="0" applyFill="1"/>
    <xf numFmtId="0" fontId="8" fillId="7" borderId="0" xfId="0" applyFont="1" applyFill="1" applyAlignment="1">
      <alignment horizontal="center"/>
    </xf>
    <xf numFmtId="0" fontId="0" fillId="8" borderId="0" xfId="0" applyFill="1"/>
    <xf numFmtId="0" fontId="8" fillId="8" borderId="0" xfId="0" applyFont="1" applyFill="1"/>
    <xf numFmtId="0" fontId="8" fillId="3" borderId="0" xfId="0" applyFont="1" applyFill="1"/>
    <xf numFmtId="0" fontId="0" fillId="9" borderId="0" xfId="0" applyFill="1"/>
    <xf numFmtId="0" fontId="8" fillId="9" borderId="0" xfId="0" applyFont="1" applyFill="1"/>
    <xf numFmtId="0" fontId="14" fillId="0" borderId="0" xfId="0" applyFont="1"/>
    <xf numFmtId="0" fontId="7" fillId="0" borderId="0" xfId="0" applyFont="1"/>
    <xf numFmtId="2" fontId="7" fillId="0" borderId="0" xfId="0" applyNumberFormat="1" applyFont="1"/>
    <xf numFmtId="0" fontId="0" fillId="10" borderId="0" xfId="0" applyFill="1"/>
    <xf numFmtId="0" fontId="0" fillId="11" borderId="0" xfId="0" applyFill="1"/>
    <xf numFmtId="164" fontId="7" fillId="0" borderId="0" xfId="0" applyNumberFormat="1" applyFont="1"/>
    <xf numFmtId="0" fontId="11" fillId="0" borderId="0" xfId="0" applyFont="1"/>
    <xf numFmtId="1" fontId="0" fillId="0" borderId="0" xfId="0" applyNumberFormat="1"/>
    <xf numFmtId="4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0" fillId="12" borderId="0" xfId="0" applyFill="1"/>
    <xf numFmtId="164" fontId="11" fillId="0" borderId="0" xfId="0" applyNumberFormat="1" applyFont="1"/>
    <xf numFmtId="0" fontId="0" fillId="13" borderId="0" xfId="0" applyFill="1"/>
    <xf numFmtId="0" fontId="17" fillId="0" borderId="0" xfId="0" applyFont="1"/>
    <xf numFmtId="20" fontId="0" fillId="0" borderId="0" xfId="0" applyNumberFormat="1"/>
    <xf numFmtId="166" fontId="0" fillId="2" borderId="0" xfId="0" applyNumberFormat="1" applyFill="1"/>
    <xf numFmtId="166" fontId="0" fillId="5" borderId="0" xfId="0" applyNumberFormat="1" applyFill="1"/>
    <xf numFmtId="166" fontId="11" fillId="2" borderId="0" xfId="0" applyNumberFormat="1" applyFont="1" applyFill="1"/>
    <xf numFmtId="0" fontId="18" fillId="4" borderId="0" xfId="0" applyFont="1" applyFill="1"/>
    <xf numFmtId="0" fontId="8" fillId="15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7" fontId="0" fillId="0" borderId="0" xfId="0" applyNumberFormat="1"/>
    <xf numFmtId="9" fontId="0" fillId="0" borderId="0" xfId="1" applyFont="1" applyFill="1"/>
    <xf numFmtId="167" fontId="0" fillId="13" borderId="0" xfId="0" applyNumberFormat="1" applyFill="1"/>
    <xf numFmtId="167" fontId="0" fillId="10" borderId="0" xfId="0" applyNumberFormat="1" applyFill="1"/>
    <xf numFmtId="167" fontId="10" fillId="0" borderId="0" xfId="0" applyNumberFormat="1" applyFont="1" applyAlignment="1">
      <alignment horizontal="center" textRotation="90"/>
    </xf>
    <xf numFmtId="167" fontId="0" fillId="5" borderId="0" xfId="0" applyNumberFormat="1" applyFill="1"/>
    <xf numFmtId="44" fontId="0" fillId="5" borderId="0" xfId="0" applyNumberFormat="1" applyFill="1"/>
    <xf numFmtId="0" fontId="0" fillId="5" borderId="0" xfId="0" applyFill="1"/>
    <xf numFmtId="0" fontId="0" fillId="14" borderId="0" xfId="0" applyFill="1"/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8" borderId="10" xfId="0" applyFill="1" applyBorder="1"/>
    <xf numFmtId="0" fontId="0" fillId="8" borderId="11" xfId="0" applyFill="1" applyBorder="1"/>
    <xf numFmtId="0" fontId="0" fillId="12" borderId="12" xfId="0" applyFill="1" applyBorder="1"/>
    <xf numFmtId="0" fontId="0" fillId="12" borderId="11" xfId="0" applyFill="1" applyBorder="1"/>
    <xf numFmtId="166" fontId="11" fillId="5" borderId="0" xfId="0" applyNumberFormat="1" applyFont="1" applyFill="1"/>
    <xf numFmtId="168" fontId="0" fillId="0" borderId="0" xfId="0" applyNumberFormat="1"/>
    <xf numFmtId="44" fontId="0" fillId="0" borderId="3" xfId="0" applyNumberFormat="1" applyBorder="1"/>
    <xf numFmtId="44" fontId="0" fillId="0" borderId="11" xfId="0" applyNumberFormat="1" applyBorder="1"/>
    <xf numFmtId="0" fontId="0" fillId="9" borderId="12" xfId="0" applyFill="1" applyBorder="1"/>
    <xf numFmtId="0" fontId="0" fillId="9" borderId="11" xfId="0" applyFill="1" applyBorder="1"/>
    <xf numFmtId="9" fontId="0" fillId="0" borderId="13" xfId="1" applyFont="1" applyBorder="1"/>
    <xf numFmtId="9" fontId="0" fillId="0" borderId="14" xfId="1" applyFont="1" applyBorder="1"/>
    <xf numFmtId="9" fontId="0" fillId="0" borderId="15" xfId="1" applyFont="1" applyBorder="1"/>
    <xf numFmtId="0" fontId="0" fillId="5" borderId="2" xfId="0" applyFill="1" applyBorder="1"/>
    <xf numFmtId="0" fontId="0" fillId="14" borderId="10" xfId="0" applyFill="1" applyBorder="1"/>
    <xf numFmtId="0" fontId="0" fillId="0" borderId="11" xfId="0" applyBorder="1" applyAlignment="1">
      <alignment horizontal="center"/>
    </xf>
    <xf numFmtId="0" fontId="8" fillId="1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6" fontId="11" fillId="0" borderId="0" xfId="0" applyNumberFormat="1" applyFont="1"/>
    <xf numFmtId="0" fontId="11" fillId="2" borderId="0" xfId="0" applyFont="1" applyFill="1" applyAlignment="1">
      <alignment horizontal="center" textRotation="90"/>
    </xf>
    <xf numFmtId="165" fontId="0" fillId="2" borderId="0" xfId="0" applyNumberFormat="1" applyFill="1"/>
    <xf numFmtId="169" fontId="2" fillId="6" borderId="0" xfId="0" applyNumberFormat="1" applyFont="1" applyFill="1"/>
    <xf numFmtId="164" fontId="2" fillId="6" borderId="0" xfId="0" applyNumberFormat="1" applyFont="1" applyFill="1"/>
    <xf numFmtId="164" fontId="2" fillId="4" borderId="0" xfId="0" applyNumberFormat="1" applyFont="1" applyFill="1"/>
    <xf numFmtId="164" fontId="2" fillId="5" borderId="0" xfId="0" applyNumberFormat="1" applyFont="1" applyFill="1"/>
    <xf numFmtId="0" fontId="0" fillId="17" borderId="0" xfId="0" applyFill="1"/>
    <xf numFmtId="0" fontId="8" fillId="1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11</xdr:row>
      <xdr:rowOff>152400</xdr:rowOff>
    </xdr:from>
    <xdr:to>
      <xdr:col>8</xdr:col>
      <xdr:colOff>590550</xdr:colOff>
      <xdr:row>16</xdr:row>
      <xdr:rowOff>28575</xdr:rowOff>
    </xdr:to>
    <xdr:grpSp>
      <xdr:nvGrpSpPr>
        <xdr:cNvPr id="20" name="Groep 1">
          <a:extLst>
            <a:ext uri="{FF2B5EF4-FFF2-40B4-BE49-F238E27FC236}">
              <a16:creationId xmlns:a16="http://schemas.microsoft.com/office/drawing/2014/main" id="{F9830CA5-4B3B-4E40-B423-E8B8AB17DA37}"/>
            </a:ext>
          </a:extLst>
        </xdr:cNvPr>
        <xdr:cNvGrpSpPr/>
      </xdr:nvGrpSpPr>
      <xdr:grpSpPr>
        <a:xfrm>
          <a:off x="4126523" y="2178818"/>
          <a:ext cx="2760994" cy="797273"/>
          <a:chOff x="9204686" y="4809994"/>
          <a:chExt cx="2451377" cy="923330"/>
        </a:xfrm>
      </xdr:grpSpPr>
      <xdr:sp macro="" textlink="">
        <xdr:nvSpPr>
          <xdr:cNvPr id="21" name="Tekstvak 4">
            <a:extLst>
              <a:ext uri="{FF2B5EF4-FFF2-40B4-BE49-F238E27FC236}">
                <a16:creationId xmlns:a16="http://schemas.microsoft.com/office/drawing/2014/main" id="{0CE4886D-7E6A-62C6-AD58-3DCE8A42D81B}"/>
              </a:ext>
            </a:extLst>
          </xdr:cNvPr>
          <xdr:cNvSpPr txBox="1"/>
        </xdr:nvSpPr>
        <xdr:spPr>
          <a:xfrm>
            <a:off x="10296395" y="4809994"/>
            <a:ext cx="1359668" cy="92333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nl-NL">
                <a:solidFill>
                  <a:schemeClr val="accent3">
                    <a:lumMod val="50000"/>
                  </a:schemeClr>
                </a:solidFill>
              </a:rPr>
              <a:t>Amsterdam</a:t>
            </a:r>
          </a:p>
          <a:p>
            <a:r>
              <a:rPr lang="nl-NL">
                <a:solidFill>
                  <a:schemeClr val="accent3">
                    <a:lumMod val="50000"/>
                  </a:schemeClr>
                </a:solidFill>
              </a:rPr>
              <a:t>Consultancy</a:t>
            </a:r>
          </a:p>
          <a:p>
            <a:r>
              <a:rPr lang="nl-NL">
                <a:solidFill>
                  <a:schemeClr val="accent3">
                    <a:lumMod val="50000"/>
                  </a:schemeClr>
                </a:solidFill>
              </a:rPr>
              <a:t>Group</a:t>
            </a:r>
          </a:p>
        </xdr:txBody>
      </xdr:sp>
      <xdr:sp macro="" textlink="">
        <xdr:nvSpPr>
          <xdr:cNvPr id="22" name="Tekstvak 5">
            <a:extLst>
              <a:ext uri="{FF2B5EF4-FFF2-40B4-BE49-F238E27FC236}">
                <a16:creationId xmlns:a16="http://schemas.microsoft.com/office/drawing/2014/main" id="{E9870248-CE80-D26A-AB1B-6A343E1F6C6D}"/>
              </a:ext>
            </a:extLst>
          </xdr:cNvPr>
          <xdr:cNvSpPr txBox="1"/>
        </xdr:nvSpPr>
        <xdr:spPr>
          <a:xfrm>
            <a:off x="9204686" y="4938315"/>
            <a:ext cx="1220270" cy="70788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nl-NL" sz="4000" b="1">
                <a:solidFill>
                  <a:schemeClr val="accent3">
                    <a:lumMod val="50000"/>
                  </a:schemeClr>
                </a:solidFill>
                <a:latin typeface="Aptos" panose="020B0004020202020204" pitchFamily="34" charset="0"/>
              </a:rPr>
              <a:t>ACG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thva-my.sharepoint.com/personal/abdulla_alkwidr_hva_nl/Documents/Block%208%20(Col2-5)/project/Fuel%20-%20Emission.xlsx" TargetMode="External"/><Relationship Id="rId1" Type="http://schemas.openxmlformats.org/officeDocument/2006/relationships/externalLinkPath" Target="Fuel%20-%20E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IXfqKG6LHES_D4oycaexLqDDmyJJo2JPmaVhCPtvye_joDLJ3arjQLWZSiYYN3-9" itemId="01PO5X3NDU6ZBSZBFK3VAJBFXYOSGU4RRX">
      <xxl21:absoluteUrl r:id="rId2"/>
    </xxl21:alternateUrls>
    <sheetNames>
      <sheetName val="Baseline 2025"/>
      <sheetName val="Info"/>
      <sheetName val="Scenario 1"/>
      <sheetName val="Scenario 2"/>
      <sheetName val="Scenario 3"/>
      <sheetName val="assumptions"/>
    </sheetNames>
    <sheetDataSet>
      <sheetData sheetId="0">
        <row r="1">
          <cell r="B1" t="str">
            <v>Destinations</v>
          </cell>
          <cell r="C1" t="str">
            <v>GC distance (km)</v>
          </cell>
          <cell r="E1" t="str">
            <v>Flight type</v>
          </cell>
          <cell r="I1" t="str">
            <v>yearly fuel burn [Kg]</v>
          </cell>
        </row>
        <row r="2">
          <cell r="B2" t="str">
            <v>1 ALC</v>
          </cell>
          <cell r="C2">
            <v>1613</v>
          </cell>
          <cell r="E2" t="str">
            <v>Short Haul</v>
          </cell>
          <cell r="I2">
            <v>4309548.88</v>
          </cell>
        </row>
        <row r="3">
          <cell r="B3" t="str">
            <v>2 ARN</v>
          </cell>
          <cell r="C3">
            <v>1155</v>
          </cell>
          <cell r="E3" t="str">
            <v>Short Haul</v>
          </cell>
          <cell r="I3">
            <v>3085882.8000000003</v>
          </cell>
        </row>
        <row r="4">
          <cell r="B4" t="str">
            <v>3 BCN</v>
          </cell>
          <cell r="C4">
            <v>1241</v>
          </cell>
          <cell r="E4" t="str">
            <v>Short Haul</v>
          </cell>
          <cell r="I4">
            <v>3315654.16</v>
          </cell>
        </row>
        <row r="5">
          <cell r="B5" t="str">
            <v>4 BRU</v>
          </cell>
          <cell r="C5">
            <v>158</v>
          </cell>
          <cell r="E5" t="str">
            <v>Short Haul</v>
          </cell>
          <cell r="I5">
            <v>844276.16</v>
          </cell>
        </row>
        <row r="6">
          <cell r="B6" t="str">
            <v>5 BSL</v>
          </cell>
          <cell r="C6">
            <v>561</v>
          </cell>
          <cell r="E6" t="str">
            <v>Short Haul</v>
          </cell>
          <cell r="I6">
            <v>1498857.36</v>
          </cell>
        </row>
        <row r="7">
          <cell r="B7" t="str">
            <v>6 CDG</v>
          </cell>
          <cell r="C7">
            <v>399</v>
          </cell>
          <cell r="E7" t="str">
            <v>Short Haul</v>
          </cell>
          <cell r="I7">
            <v>1066032.24</v>
          </cell>
        </row>
        <row r="8">
          <cell r="B8" t="str">
            <v>7 DUB</v>
          </cell>
          <cell r="C8">
            <v>753</v>
          </cell>
          <cell r="E8" t="str">
            <v>Short Haul</v>
          </cell>
          <cell r="I8">
            <v>2011835.28</v>
          </cell>
        </row>
        <row r="9">
          <cell r="B9" t="str">
            <v>8 FAO</v>
          </cell>
          <cell r="C9">
            <v>1970</v>
          </cell>
          <cell r="E9" t="str">
            <v>Short Haul</v>
          </cell>
          <cell r="I9">
            <v>5263367.1999999993</v>
          </cell>
        </row>
        <row r="10">
          <cell r="B10" t="str">
            <v>9 LIS</v>
          </cell>
          <cell r="C10">
            <v>1848</v>
          </cell>
          <cell r="E10" t="str">
            <v>Short Haul</v>
          </cell>
          <cell r="I10">
            <v>4937412.4799999995</v>
          </cell>
        </row>
        <row r="11">
          <cell r="B11" t="str">
            <v>10 MUC</v>
          </cell>
          <cell r="C11">
            <v>665</v>
          </cell>
          <cell r="E11" t="str">
            <v>Short Haul</v>
          </cell>
          <cell r="I11">
            <v>1776720.4</v>
          </cell>
        </row>
        <row r="12">
          <cell r="B12" t="str">
            <v>11 OSL</v>
          </cell>
          <cell r="C12">
            <v>961</v>
          </cell>
          <cell r="E12" t="str">
            <v>Short Haul</v>
          </cell>
          <cell r="I12">
            <v>2567561.36</v>
          </cell>
        </row>
        <row r="13">
          <cell r="B13" t="str">
            <v>12 PMI</v>
          </cell>
          <cell r="C13">
            <v>1426</v>
          </cell>
          <cell r="E13" t="str">
            <v>Short Haul</v>
          </cell>
          <cell r="I13">
            <v>3809929.7600000002</v>
          </cell>
        </row>
        <row r="14">
          <cell r="B14" t="str">
            <v>13 VIE</v>
          </cell>
          <cell r="C14">
            <v>962</v>
          </cell>
          <cell r="E14" t="str">
            <v>Short Haul</v>
          </cell>
          <cell r="I14">
            <v>2570233.12</v>
          </cell>
        </row>
        <row r="15">
          <cell r="B15" t="str">
            <v>14 WAW</v>
          </cell>
          <cell r="C15">
            <v>1105</v>
          </cell>
          <cell r="E15" t="str">
            <v>Short Haul</v>
          </cell>
          <cell r="I15">
            <v>2952294.8000000003</v>
          </cell>
        </row>
        <row r="16">
          <cell r="B16" t="str">
            <v>15 ZRH</v>
          </cell>
          <cell r="C16">
            <v>603</v>
          </cell>
          <cell r="E16" t="str">
            <v>Short Haul</v>
          </cell>
          <cell r="I16">
            <v>3222142.5599999996</v>
          </cell>
        </row>
        <row r="17">
          <cell r="B17" t="str">
            <v>16 BKK</v>
          </cell>
          <cell r="C17">
            <v>9217</v>
          </cell>
          <cell r="E17" t="str">
            <v>Long Haul</v>
          </cell>
          <cell r="I17">
            <v>21337723.68</v>
          </cell>
        </row>
        <row r="18">
          <cell r="B18" t="str">
            <v>17 MFM</v>
          </cell>
          <cell r="C18">
            <v>9285</v>
          </cell>
          <cell r="E18" t="str">
            <v>Long Haul</v>
          </cell>
          <cell r="I18">
            <v>21495146.399999999</v>
          </cell>
        </row>
        <row r="19">
          <cell r="B19" t="str">
            <v>18 HAN</v>
          </cell>
          <cell r="C19">
            <v>8886</v>
          </cell>
          <cell r="E19" t="str">
            <v>Long Haul</v>
          </cell>
          <cell r="I19">
            <v>6857148.4799999995</v>
          </cell>
        </row>
        <row r="20">
          <cell r="B20" t="str">
            <v>19 PTY</v>
          </cell>
          <cell r="C20">
            <v>8818</v>
          </cell>
          <cell r="E20" t="str">
            <v>Long Haul</v>
          </cell>
          <cell r="I20">
            <v>20414022.719999999</v>
          </cell>
        </row>
        <row r="21">
          <cell r="B21" t="str">
            <v>20 MEX</v>
          </cell>
          <cell r="C21">
            <v>9220</v>
          </cell>
          <cell r="E21" t="str">
            <v>Long Haul</v>
          </cell>
          <cell r="I21">
            <v>21344668.799999997</v>
          </cell>
        </row>
        <row r="22">
          <cell r="B22" t="str">
            <v>21 GIG</v>
          </cell>
          <cell r="C22">
            <v>9536</v>
          </cell>
          <cell r="E22" t="str">
            <v>Long Haul</v>
          </cell>
          <cell r="I22">
            <v>7358740.4799999995</v>
          </cell>
        </row>
        <row r="23">
          <cell r="B23" t="str">
            <v>22 CPT</v>
          </cell>
          <cell r="C23">
            <v>9652</v>
          </cell>
          <cell r="E23" t="str">
            <v>Long Haul</v>
          </cell>
          <cell r="I23">
            <v>22344766.079999998</v>
          </cell>
        </row>
        <row r="25">
          <cell r="E25"/>
        </row>
        <row r="26">
          <cell r="I26">
            <v>77964.75959999999</v>
          </cell>
        </row>
      </sheetData>
      <sheetData sheetId="1"/>
      <sheetData sheetId="2"/>
      <sheetData sheetId="3"/>
      <sheetData sheetId="4"/>
      <sheetData sheetId="5">
        <row r="6">
          <cell r="C6">
            <v>0.85</v>
          </cell>
          <cell r="D6">
            <v>0.85</v>
          </cell>
        </row>
        <row r="7">
          <cell r="D7">
            <v>1.3</v>
          </cell>
        </row>
        <row r="8">
          <cell r="C8">
            <v>1.8</v>
          </cell>
          <cell r="D8">
            <v>1.3</v>
          </cell>
        </row>
        <row r="9">
          <cell r="C9">
            <v>5.0999999999999996</v>
          </cell>
          <cell r="D9">
            <v>3.2</v>
          </cell>
        </row>
        <row r="10">
          <cell r="D10">
            <v>1.5</v>
          </cell>
        </row>
        <row r="11">
          <cell r="C11">
            <v>95</v>
          </cell>
          <cell r="D11">
            <v>95</v>
          </cell>
        </row>
        <row r="12">
          <cell r="C12">
            <v>26.03</v>
          </cell>
        </row>
        <row r="13">
          <cell r="C13">
            <v>1.5</v>
          </cell>
        </row>
        <row r="14">
          <cell r="C14">
            <v>0</v>
          </cell>
          <cell r="D14">
            <v>500</v>
          </cell>
        </row>
        <row r="15">
          <cell r="C15">
            <v>150000</v>
          </cell>
          <cell r="D15">
            <v>150000</v>
          </cell>
        </row>
        <row r="16">
          <cell r="C16">
            <v>50000</v>
          </cell>
          <cell r="D16">
            <v>50000</v>
          </cell>
        </row>
        <row r="17">
          <cell r="C17">
            <v>2000</v>
          </cell>
        </row>
        <row r="18">
          <cell r="C18">
            <v>8000</v>
          </cell>
          <cell r="D18">
            <v>8000</v>
          </cell>
        </row>
        <row r="19">
          <cell r="C19">
            <v>30</v>
          </cell>
          <cell r="D19">
            <v>30</v>
          </cell>
        </row>
        <row r="20">
          <cell r="D20">
            <v>1</v>
          </cell>
        </row>
        <row r="21">
          <cell r="D21">
            <v>25</v>
          </cell>
        </row>
        <row r="22">
          <cell r="D22">
            <v>0.2</v>
          </cell>
        </row>
        <row r="23">
          <cell r="D23">
            <v>5120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565E-6135-4E35-8D8F-867C32C142B8}">
  <sheetPr>
    <tabColor theme="9"/>
  </sheetPr>
  <dimension ref="A4:AW56"/>
  <sheetViews>
    <sheetView topLeftCell="Z9" zoomScale="85" zoomScaleNormal="80" workbookViewId="0">
      <selection activeCell="AM7" sqref="AM7"/>
    </sheetView>
  </sheetViews>
  <sheetFormatPr defaultRowHeight="14.4" x14ac:dyDescent="0.3"/>
  <cols>
    <col min="12" max="12" width="11" bestFit="1" customWidth="1"/>
    <col min="13" max="14" width="9" bestFit="1" customWidth="1"/>
    <col min="15" max="18" width="9" customWidth="1"/>
    <col min="19" max="19" width="9" bestFit="1" customWidth="1"/>
    <col min="20" max="20" width="9" customWidth="1"/>
    <col min="21" max="22" width="9" bestFit="1" customWidth="1"/>
    <col min="23" max="23" width="10.5546875" customWidth="1"/>
    <col min="24" max="24" width="15.33203125" bestFit="1" customWidth="1"/>
    <col min="25" max="26" width="15.33203125" customWidth="1"/>
    <col min="27" max="27" width="10.44140625" bestFit="1" customWidth="1"/>
    <col min="28" max="28" width="15.33203125" style="65" customWidth="1"/>
    <col min="29" max="30" width="12.5546875" bestFit="1" customWidth="1"/>
    <col min="31" max="31" width="9" bestFit="1" customWidth="1"/>
    <col min="32" max="33" width="14.33203125" bestFit="1" customWidth="1"/>
    <col min="34" max="34" width="15.33203125" bestFit="1" customWidth="1"/>
    <col min="35" max="35" width="14.33203125" bestFit="1" customWidth="1"/>
    <col min="36" max="36" width="11.44140625" bestFit="1" customWidth="1"/>
    <col min="37" max="37" width="14.33203125" bestFit="1" customWidth="1"/>
    <col min="38" max="38" width="15.5546875" customWidth="1"/>
    <col min="39" max="39" width="12.5546875" bestFit="1" customWidth="1"/>
    <col min="40" max="40" width="10.5546875" bestFit="1" customWidth="1"/>
    <col min="41" max="41" width="14.44140625" bestFit="1" customWidth="1"/>
    <col min="42" max="42" width="9.88671875" bestFit="1" customWidth="1"/>
  </cols>
  <sheetData>
    <row r="4" spans="1:49" ht="25.8" x14ac:dyDescent="0.5">
      <c r="A4" s="110" t="s">
        <v>0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00"/>
      <c r="P4" s="100"/>
      <c r="Q4" s="100"/>
      <c r="R4" s="100"/>
      <c r="S4" s="55"/>
      <c r="T4" s="55"/>
      <c r="U4" s="55"/>
      <c r="V4" s="55"/>
      <c r="W4" s="55"/>
      <c r="X4" s="55"/>
      <c r="Y4" s="55"/>
      <c r="Z4" s="55"/>
      <c r="AB4" s="67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</row>
    <row r="5" spans="1:49" ht="25.8" x14ac:dyDescent="0.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44"/>
      <c r="T5" s="44"/>
      <c r="U5" s="44"/>
      <c r="V5" s="44"/>
      <c r="W5" s="44"/>
      <c r="X5" s="44"/>
      <c r="Y5" s="44"/>
      <c r="Z5" s="44"/>
      <c r="AB5" s="68"/>
      <c r="AC5" s="38" t="s">
        <v>1</v>
      </c>
      <c r="AD5" s="22"/>
      <c r="AE5" s="45"/>
      <c r="AF5" s="36"/>
      <c r="AG5" s="36"/>
      <c r="AH5" s="36"/>
      <c r="AI5" s="37" t="s">
        <v>2</v>
      </c>
      <c r="AJ5" s="36"/>
      <c r="AK5" s="36"/>
      <c r="AL5" s="36"/>
      <c r="AM5" s="36"/>
      <c r="AN5" s="39"/>
      <c r="AO5" s="40" t="s">
        <v>3</v>
      </c>
      <c r="AP5" s="39"/>
    </row>
    <row r="6" spans="1:49" ht="169.8" x14ac:dyDescent="0.3">
      <c r="B6" s="21" t="s">
        <v>4</v>
      </c>
      <c r="C6" s="21" t="s">
        <v>5</v>
      </c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1" t="s">
        <v>18</v>
      </c>
      <c r="Q6" s="21" t="s">
        <v>19</v>
      </c>
      <c r="R6" s="21" t="s">
        <v>20</v>
      </c>
      <c r="S6" s="30" t="s">
        <v>21</v>
      </c>
      <c r="T6" s="30" t="s">
        <v>22</v>
      </c>
      <c r="U6" s="30" t="s">
        <v>23</v>
      </c>
      <c r="V6" s="30" t="s">
        <v>24</v>
      </c>
      <c r="W6" s="30" t="s">
        <v>25</v>
      </c>
      <c r="X6" s="30" t="s">
        <v>26</v>
      </c>
      <c r="Y6" s="30" t="s">
        <v>27</v>
      </c>
      <c r="Z6" s="30" t="s">
        <v>28</v>
      </c>
      <c r="AA6" s="30" t="s">
        <v>29</v>
      </c>
      <c r="AB6" s="69" t="s">
        <v>30</v>
      </c>
      <c r="AC6" s="32" t="s">
        <v>31</v>
      </c>
      <c r="AD6" s="32" t="s">
        <v>32</v>
      </c>
      <c r="AE6" s="33" t="s">
        <v>33</v>
      </c>
      <c r="AF6" s="31" t="s">
        <v>1</v>
      </c>
      <c r="AG6" s="31" t="s">
        <v>34</v>
      </c>
      <c r="AH6" s="31" t="s">
        <v>35</v>
      </c>
      <c r="AI6" s="31" t="s">
        <v>36</v>
      </c>
      <c r="AJ6" s="31" t="s">
        <v>37</v>
      </c>
      <c r="AK6" s="31" t="s">
        <v>38</v>
      </c>
      <c r="AL6" s="31" t="s">
        <v>39</v>
      </c>
      <c r="AM6" s="31" t="s">
        <v>40</v>
      </c>
      <c r="AN6" s="31" t="s">
        <v>41</v>
      </c>
      <c r="AO6" s="31" t="s">
        <v>42</v>
      </c>
      <c r="AP6" s="31" t="s">
        <v>43</v>
      </c>
    </row>
    <row r="7" spans="1:49" x14ac:dyDescent="0.3">
      <c r="B7" s="27" t="s">
        <v>44</v>
      </c>
      <c r="C7" s="28" t="s">
        <v>45</v>
      </c>
      <c r="D7" s="28" t="s">
        <v>46</v>
      </c>
      <c r="E7" s="29">
        <f>7*52*2</f>
        <v>728</v>
      </c>
      <c r="F7" s="28">
        <f>E7/2</f>
        <v>364</v>
      </c>
      <c r="G7" s="28">
        <f>E7</f>
        <v>728</v>
      </c>
      <c r="H7" s="28">
        <f>_xlfn.XLOOKUP(B7,'[1]Baseline 2025'!$B:$B,'[1]Baseline 2025'!$C:$C)</f>
        <v>1613</v>
      </c>
      <c r="I7" s="28">
        <f>E7*H7</f>
        <v>1174264</v>
      </c>
      <c r="J7" s="28" t="str">
        <f>_xlfn.XLOOKUP(B7,'[1]Baseline 2025'!$B:$B,'[1]Baseline 2025'!$E:$E)</f>
        <v>Short Haul</v>
      </c>
      <c r="K7" s="28">
        <f>_xlfn.XLOOKUP(B7,'[1]Baseline 2025'!$B:$B,'[1]Baseline 2025'!$I:$I)/100</f>
        <v>43095.488799999999</v>
      </c>
      <c r="L7" s="28">
        <f>K7*100</f>
        <v>4309548.88</v>
      </c>
      <c r="M7" s="28">
        <v>3.84</v>
      </c>
      <c r="N7" s="28">
        <f>(L7*M7)/1000</f>
        <v>16548.667699199999</v>
      </c>
      <c r="O7" s="28">
        <f t="shared" ref="O7:O28" si="0">12/1000</f>
        <v>1.2E-2</v>
      </c>
      <c r="P7" s="106">
        <f t="shared" ref="P7:P28" si="1">(O7*L7)/1000</f>
        <v>51.714586559999994</v>
      </c>
      <c r="Q7" s="105">
        <f t="shared" ref="Q7:Q28" si="2">1.2/1000</f>
        <v>1.1999999999999999E-3</v>
      </c>
      <c r="R7" s="106">
        <f t="shared" ref="R7:R28" si="3">Q7*L7/1000</f>
        <v>5.1714586559999995</v>
      </c>
      <c r="S7">
        <v>100</v>
      </c>
      <c r="T7">
        <f>G7*S7*assumptions!$D$6</f>
        <v>61880</v>
      </c>
      <c r="U7">
        <v>10.9</v>
      </c>
      <c r="V7" s="57">
        <v>0.1111111111111111</v>
      </c>
      <c r="W7" s="48">
        <v>5919.71</v>
      </c>
      <c r="X7" s="48">
        <f>W7*0.97</f>
        <v>5742.1187</v>
      </c>
      <c r="Y7" s="51">
        <f>X7*assumptions!$C$7</f>
        <v>7464.7543100000003</v>
      </c>
      <c r="Z7" s="48">
        <f>W7*0.03</f>
        <v>177.59129999999999</v>
      </c>
      <c r="AA7" s="51">
        <f>Z7*assumptions!$C$8</f>
        <v>319.66433999999998</v>
      </c>
      <c r="AB7" s="70">
        <v>172</v>
      </c>
      <c r="AC7">
        <v>2</v>
      </c>
      <c r="AD7">
        <v>3</v>
      </c>
      <c r="AE7" s="49">
        <v>3.5</v>
      </c>
      <c r="AF7" s="51">
        <v>1201.5</v>
      </c>
      <c r="AG7" s="51">
        <v>6845</v>
      </c>
      <c r="AH7" s="51">
        <v>21360</v>
      </c>
      <c r="AI7" s="51">
        <v>5340</v>
      </c>
      <c r="AJ7" s="51">
        <v>1669</v>
      </c>
      <c r="AK7" s="51">
        <v>2550</v>
      </c>
      <c r="AL7" s="71">
        <v>3341</v>
      </c>
      <c r="AM7" s="51">
        <f>Y7+AF7+AG7+AH7+AI7+AJ7+AK7+AL7+AA7</f>
        <v>50090.918650000007</v>
      </c>
      <c r="AN7" s="72">
        <v>14620</v>
      </c>
      <c r="AO7" s="51">
        <v>38150</v>
      </c>
      <c r="AP7" s="51">
        <f>AN7+AO7</f>
        <v>52770</v>
      </c>
    </row>
    <row r="8" spans="1:49" x14ac:dyDescent="0.3">
      <c r="B8" s="27" t="s">
        <v>47</v>
      </c>
      <c r="C8" s="28" t="s">
        <v>45</v>
      </c>
      <c r="D8" s="28" t="s">
        <v>46</v>
      </c>
      <c r="E8" s="29">
        <f t="shared" ref="E8:E9" si="4">7*52*2</f>
        <v>728</v>
      </c>
      <c r="F8" s="28">
        <f t="shared" ref="F8:F28" si="5">E8/2</f>
        <v>364</v>
      </c>
      <c r="G8" s="28">
        <f t="shared" ref="G8:G28" si="6">E8</f>
        <v>728</v>
      </c>
      <c r="H8" s="28">
        <f>_xlfn.XLOOKUP(B8,'[1]Baseline 2025'!$B:$B,'[1]Baseline 2025'!$C:$C)</f>
        <v>1155</v>
      </c>
      <c r="I8" s="28">
        <f t="shared" ref="I8:I28" si="7">E8*H8</f>
        <v>840840</v>
      </c>
      <c r="J8" s="28" t="str">
        <f>_xlfn.XLOOKUP(B8,'[1]Baseline 2025'!$B:$B,'[1]Baseline 2025'!$E:$E)</f>
        <v>Short Haul</v>
      </c>
      <c r="K8" s="28">
        <f>_xlfn.XLOOKUP(B8,'[1]Baseline 2025'!$B:$B,'[1]Baseline 2025'!$I:$I)/100</f>
        <v>30858.828000000001</v>
      </c>
      <c r="L8" s="28">
        <f t="shared" ref="L8:L28" si="8">K8*100</f>
        <v>3085882.8000000003</v>
      </c>
      <c r="M8" s="28">
        <v>3.84</v>
      </c>
      <c r="N8" s="28">
        <f t="shared" ref="N8:N28" si="9">(L8*M8)/1000</f>
        <v>11849.789952000001</v>
      </c>
      <c r="O8" s="28">
        <f t="shared" si="0"/>
        <v>1.2E-2</v>
      </c>
      <c r="P8" s="106">
        <f t="shared" si="1"/>
        <v>37.03059360000001</v>
      </c>
      <c r="Q8" s="105">
        <f t="shared" si="2"/>
        <v>1.1999999999999999E-3</v>
      </c>
      <c r="R8" s="106">
        <f t="shared" si="3"/>
        <v>3.7030593600000001</v>
      </c>
      <c r="S8">
        <v>100</v>
      </c>
      <c r="T8">
        <f>G8*S8*assumptions!$D$6</f>
        <v>61880</v>
      </c>
      <c r="U8">
        <v>10.9</v>
      </c>
      <c r="V8" s="57">
        <v>8.3333333333333329E-2</v>
      </c>
      <c r="W8" s="48">
        <v>4238.8500000000004</v>
      </c>
      <c r="X8" s="48">
        <f t="shared" ref="X8:X27" si="10">W8*0.97</f>
        <v>4111.6845000000003</v>
      </c>
      <c r="Y8" s="51">
        <f>X8*assumptions!$C$7</f>
        <v>5345.1898500000007</v>
      </c>
      <c r="Z8" s="48">
        <f t="shared" ref="Z8:Z27" si="11">W8*0.03</f>
        <v>127.16550000000001</v>
      </c>
      <c r="AA8" s="51">
        <f>Z8*assumptions!$C$8</f>
        <v>228.89790000000002</v>
      </c>
      <c r="AB8" s="70">
        <v>99</v>
      </c>
      <c r="AC8">
        <v>2</v>
      </c>
      <c r="AD8">
        <v>3</v>
      </c>
      <c r="AE8" s="49">
        <v>3</v>
      </c>
      <c r="AF8" s="51">
        <v>900</v>
      </c>
      <c r="AG8" s="51">
        <v>6158</v>
      </c>
      <c r="AH8" s="51">
        <v>16000</v>
      </c>
      <c r="AI8" s="51">
        <v>4000</v>
      </c>
      <c r="AJ8" s="51">
        <v>1250</v>
      </c>
      <c r="AK8" s="51">
        <v>2550</v>
      </c>
      <c r="AL8" s="71">
        <v>2603</v>
      </c>
      <c r="AM8" s="51">
        <f t="shared" ref="AM8:AM27" si="12">Y8+AF8+AG8+AH8+AI8+AJ8+AK8+AL8+AA8</f>
        <v>39035.087750000006</v>
      </c>
      <c r="AN8" s="72">
        <v>8415</v>
      </c>
      <c r="AO8" s="51">
        <v>32700</v>
      </c>
      <c r="AP8" s="51">
        <f t="shared" ref="AP8:AP28" si="13">AN8+AO8</f>
        <v>41115</v>
      </c>
    </row>
    <row r="9" spans="1:49" x14ac:dyDescent="0.3">
      <c r="B9" s="27" t="s">
        <v>48</v>
      </c>
      <c r="C9" s="28" t="s">
        <v>45</v>
      </c>
      <c r="D9" s="28" t="s">
        <v>46</v>
      </c>
      <c r="E9" s="29">
        <f t="shared" si="4"/>
        <v>728</v>
      </c>
      <c r="F9" s="28">
        <f t="shared" si="5"/>
        <v>364</v>
      </c>
      <c r="G9" s="28">
        <f t="shared" si="6"/>
        <v>728</v>
      </c>
      <c r="H9" s="28">
        <f>_xlfn.XLOOKUP(B9,'[1]Baseline 2025'!$B:$B,'[1]Baseline 2025'!$C:$C)</f>
        <v>1241</v>
      </c>
      <c r="I9" s="28">
        <f t="shared" si="7"/>
        <v>903448</v>
      </c>
      <c r="J9" s="28" t="str">
        <f>_xlfn.XLOOKUP(B9,'[1]Baseline 2025'!$B:$B,'[1]Baseline 2025'!$E:$E)</f>
        <v>Short Haul</v>
      </c>
      <c r="K9" s="28">
        <f>_xlfn.XLOOKUP(B9,'[1]Baseline 2025'!$B:$B,'[1]Baseline 2025'!$I:$I)/100</f>
        <v>33156.541600000004</v>
      </c>
      <c r="L9" s="28">
        <f t="shared" si="8"/>
        <v>3315654.1600000006</v>
      </c>
      <c r="M9" s="28">
        <v>3.84</v>
      </c>
      <c r="N9" s="28">
        <f t="shared" si="9"/>
        <v>12732.111974400003</v>
      </c>
      <c r="O9" s="28">
        <f t="shared" si="0"/>
        <v>1.2E-2</v>
      </c>
      <c r="P9" s="106">
        <f t="shared" si="1"/>
        <v>39.787849920000006</v>
      </c>
      <c r="Q9" s="105">
        <f t="shared" si="2"/>
        <v>1.1999999999999999E-3</v>
      </c>
      <c r="R9" s="106">
        <f t="shared" si="3"/>
        <v>3.9787849920000005</v>
      </c>
      <c r="S9">
        <v>100</v>
      </c>
      <c r="T9">
        <f>G9*S9*assumptions!$D$6</f>
        <v>61880</v>
      </c>
      <c r="U9">
        <v>10.9</v>
      </c>
      <c r="V9" s="57">
        <v>9.7222222222222224E-2</v>
      </c>
      <c r="W9" s="48">
        <v>4554.47</v>
      </c>
      <c r="X9" s="48">
        <f t="shared" si="10"/>
        <v>4417.8359</v>
      </c>
      <c r="Y9" s="51">
        <f>X9*assumptions!$C$7</f>
        <v>5743.18667</v>
      </c>
      <c r="Z9" s="48">
        <f t="shared" si="11"/>
        <v>136.63409999999999</v>
      </c>
      <c r="AA9" s="51">
        <f>Z9*assumptions!$C$8</f>
        <v>245.94137999999998</v>
      </c>
      <c r="AB9" s="70">
        <v>90</v>
      </c>
      <c r="AC9">
        <v>2</v>
      </c>
      <c r="AD9">
        <v>3</v>
      </c>
      <c r="AE9" s="49">
        <v>3.5</v>
      </c>
      <c r="AF9" s="51">
        <v>1048.5</v>
      </c>
      <c r="AG9" s="51">
        <v>6287</v>
      </c>
      <c r="AH9" s="51">
        <v>18640</v>
      </c>
      <c r="AI9" s="51">
        <v>4660</v>
      </c>
      <c r="AJ9" s="51">
        <v>1456</v>
      </c>
      <c r="AK9" s="51">
        <v>2550</v>
      </c>
      <c r="AL9" s="71">
        <v>2903</v>
      </c>
      <c r="AM9" s="51">
        <f t="shared" si="12"/>
        <v>43533.628049999992</v>
      </c>
      <c r="AN9" s="72">
        <v>7650</v>
      </c>
      <c r="AO9" s="51">
        <v>38150</v>
      </c>
      <c r="AP9" s="51">
        <f t="shared" si="13"/>
        <v>45800</v>
      </c>
    </row>
    <row r="10" spans="1:49" x14ac:dyDescent="0.3">
      <c r="B10" s="27" t="s">
        <v>49</v>
      </c>
      <c r="C10" s="28" t="s">
        <v>45</v>
      </c>
      <c r="D10" s="28" t="s">
        <v>46</v>
      </c>
      <c r="E10" s="29">
        <f>14*52</f>
        <v>728</v>
      </c>
      <c r="F10" s="28">
        <f t="shared" si="5"/>
        <v>364</v>
      </c>
      <c r="G10" s="28">
        <f t="shared" si="6"/>
        <v>728</v>
      </c>
      <c r="H10" s="28">
        <f>_xlfn.XLOOKUP(B10,'[1]Baseline 2025'!$B:$B,'[1]Baseline 2025'!$C:$C)</f>
        <v>158</v>
      </c>
      <c r="I10" s="28">
        <f t="shared" si="7"/>
        <v>115024</v>
      </c>
      <c r="J10" s="28" t="str">
        <f>_xlfn.XLOOKUP(B10,'[1]Baseline 2025'!$B:$B,'[1]Baseline 2025'!$E:$E)</f>
        <v>Short Haul</v>
      </c>
      <c r="K10" s="28">
        <f>_xlfn.XLOOKUP(B10,'[1]Baseline 2025'!$B:$B,'[1]Baseline 2025'!$I:$I)/100</f>
        <v>8442.7615999999998</v>
      </c>
      <c r="L10" s="28">
        <f t="shared" si="8"/>
        <v>844276.16</v>
      </c>
      <c r="M10" s="28">
        <v>3.84</v>
      </c>
      <c r="N10" s="28">
        <f t="shared" si="9"/>
        <v>3242.0204544000003</v>
      </c>
      <c r="O10" s="28">
        <f t="shared" si="0"/>
        <v>1.2E-2</v>
      </c>
      <c r="P10" s="106">
        <f t="shared" si="1"/>
        <v>10.13131392</v>
      </c>
      <c r="Q10" s="105">
        <f t="shared" si="2"/>
        <v>1.1999999999999999E-3</v>
      </c>
      <c r="R10" s="106">
        <f t="shared" si="3"/>
        <v>1.013131392</v>
      </c>
      <c r="S10">
        <v>100</v>
      </c>
      <c r="T10">
        <f>G10*S10*assumptions!$D$6</f>
        <v>61880</v>
      </c>
      <c r="U10">
        <v>10.9</v>
      </c>
      <c r="V10" s="57">
        <v>2.7777777777777776E-2</v>
      </c>
      <c r="W10" s="48">
        <v>579.86</v>
      </c>
      <c r="X10" s="48">
        <f t="shared" si="10"/>
        <v>562.46420000000001</v>
      </c>
      <c r="Y10" s="51">
        <f>X10*assumptions!$C$7</f>
        <v>731.20346000000006</v>
      </c>
      <c r="Z10" s="48">
        <f t="shared" si="11"/>
        <v>17.395800000000001</v>
      </c>
      <c r="AA10" s="51">
        <f>Z10*assumptions!$C$8</f>
        <v>31.312440000000002</v>
      </c>
      <c r="AB10" s="70">
        <v>37.5</v>
      </c>
      <c r="AC10">
        <v>2</v>
      </c>
      <c r="AD10">
        <v>3</v>
      </c>
      <c r="AE10" s="49">
        <v>3.5</v>
      </c>
      <c r="AF10" s="51">
        <v>300.01499999999999</v>
      </c>
      <c r="AG10" s="51">
        <v>4662</v>
      </c>
      <c r="AH10" s="51">
        <v>5333.6</v>
      </c>
      <c r="AI10" s="51">
        <v>1333.4</v>
      </c>
      <c r="AJ10" s="51">
        <v>417</v>
      </c>
      <c r="AK10" s="51">
        <v>2550</v>
      </c>
      <c r="AL10" s="71">
        <v>1097</v>
      </c>
      <c r="AM10" s="51">
        <f t="shared" si="12"/>
        <v>16455.530900000002</v>
      </c>
      <c r="AN10" s="72">
        <v>3187.5</v>
      </c>
      <c r="AO10" s="51">
        <v>38150</v>
      </c>
      <c r="AP10" s="51">
        <f t="shared" si="13"/>
        <v>41337.5</v>
      </c>
    </row>
    <row r="11" spans="1:49" x14ac:dyDescent="0.3">
      <c r="B11" s="27" t="s">
        <v>50</v>
      </c>
      <c r="C11" s="28" t="s">
        <v>45</v>
      </c>
      <c r="D11" s="28" t="s">
        <v>46</v>
      </c>
      <c r="E11" s="29">
        <f>7*52*2</f>
        <v>728</v>
      </c>
      <c r="F11" s="28">
        <f t="shared" si="5"/>
        <v>364</v>
      </c>
      <c r="G11" s="28">
        <f t="shared" si="6"/>
        <v>728</v>
      </c>
      <c r="H11" s="28">
        <f>_xlfn.XLOOKUP(B11,'[1]Baseline 2025'!$B:$B,'[1]Baseline 2025'!$C:$C)</f>
        <v>561</v>
      </c>
      <c r="I11" s="28">
        <f t="shared" si="7"/>
        <v>408408</v>
      </c>
      <c r="J11" s="28" t="str">
        <f>_xlfn.XLOOKUP(B11,'[1]Baseline 2025'!$B:$B,'[1]Baseline 2025'!$E:$E)</f>
        <v>Short Haul</v>
      </c>
      <c r="K11" s="28">
        <f>_xlfn.XLOOKUP(B11,'[1]Baseline 2025'!$B:$B,'[1]Baseline 2025'!$I:$I)/100</f>
        <v>14988.573600000002</v>
      </c>
      <c r="L11" s="28">
        <f t="shared" si="8"/>
        <v>1498857.36</v>
      </c>
      <c r="M11" s="28">
        <v>3.84</v>
      </c>
      <c r="N11" s="28">
        <f t="shared" si="9"/>
        <v>5755.6122624</v>
      </c>
      <c r="O11" s="28">
        <f t="shared" si="0"/>
        <v>1.2E-2</v>
      </c>
      <c r="P11" s="106">
        <f t="shared" si="1"/>
        <v>17.986288320000003</v>
      </c>
      <c r="Q11" s="105">
        <f t="shared" si="2"/>
        <v>1.1999999999999999E-3</v>
      </c>
      <c r="R11" s="106">
        <f t="shared" si="3"/>
        <v>1.7986288319999999</v>
      </c>
      <c r="S11">
        <v>100</v>
      </c>
      <c r="T11">
        <f>G11*S11*assumptions!$D$6</f>
        <v>61880</v>
      </c>
      <c r="U11">
        <v>10.9</v>
      </c>
      <c r="V11" s="57">
        <v>5.5555555555555552E-2</v>
      </c>
      <c r="W11" s="48">
        <v>2058.87</v>
      </c>
      <c r="X11" s="48">
        <f t="shared" si="10"/>
        <v>1997.1038999999998</v>
      </c>
      <c r="Y11" s="51">
        <f>X11*assumptions!$C$7</f>
        <v>2596.2350699999997</v>
      </c>
      <c r="Z11" s="48">
        <f t="shared" si="11"/>
        <v>61.766099999999994</v>
      </c>
      <c r="AA11" s="51">
        <f>Z11*assumptions!$C$8</f>
        <v>111.17898</v>
      </c>
      <c r="AB11" s="70">
        <v>45</v>
      </c>
      <c r="AC11">
        <v>2</v>
      </c>
      <c r="AD11">
        <v>3</v>
      </c>
      <c r="AE11" s="49">
        <v>3.5</v>
      </c>
      <c r="AF11" s="51">
        <v>598.5</v>
      </c>
      <c r="AG11" s="51">
        <v>5267</v>
      </c>
      <c r="AH11" s="51">
        <v>10640</v>
      </c>
      <c r="AI11" s="51">
        <v>2660</v>
      </c>
      <c r="AJ11" s="51">
        <v>831</v>
      </c>
      <c r="AK11" s="51">
        <v>2550</v>
      </c>
      <c r="AL11" s="71">
        <v>1805</v>
      </c>
      <c r="AM11" s="51">
        <f t="shared" si="12"/>
        <v>27058.914049999999</v>
      </c>
      <c r="AN11" s="72">
        <v>3825</v>
      </c>
      <c r="AO11" s="51">
        <v>38150</v>
      </c>
      <c r="AP11" s="51">
        <f t="shared" si="13"/>
        <v>41975</v>
      </c>
    </row>
    <row r="12" spans="1:49" x14ac:dyDescent="0.3">
      <c r="B12" s="27" t="s">
        <v>51</v>
      </c>
      <c r="C12" s="28" t="s">
        <v>45</v>
      </c>
      <c r="D12" s="28" t="s">
        <v>46</v>
      </c>
      <c r="E12" s="29">
        <f t="shared" ref="E12:E20" si="14">7*52</f>
        <v>364</v>
      </c>
      <c r="F12" s="28">
        <f t="shared" si="5"/>
        <v>182</v>
      </c>
      <c r="G12" s="28">
        <f t="shared" si="6"/>
        <v>364</v>
      </c>
      <c r="H12" s="28">
        <f>_xlfn.XLOOKUP(B12,'[1]Baseline 2025'!$B:$B,'[1]Baseline 2025'!$C:$C)</f>
        <v>399</v>
      </c>
      <c r="I12" s="28">
        <f t="shared" si="7"/>
        <v>145236</v>
      </c>
      <c r="J12" s="28" t="str">
        <f>_xlfn.XLOOKUP(B12,'[1]Baseline 2025'!$B:$B,'[1]Baseline 2025'!$E:$E)</f>
        <v>Short Haul</v>
      </c>
      <c r="K12" s="28">
        <f>_xlfn.XLOOKUP(B12,'[1]Baseline 2025'!$B:$B,'[1]Baseline 2025'!$I:$I)/100</f>
        <v>10660.322399999999</v>
      </c>
      <c r="L12" s="28">
        <f t="shared" si="8"/>
        <v>1066032.24</v>
      </c>
      <c r="M12" s="28">
        <v>3.84</v>
      </c>
      <c r="N12" s="28">
        <f t="shared" si="9"/>
        <v>4093.5638015999998</v>
      </c>
      <c r="O12" s="28">
        <f t="shared" si="0"/>
        <v>1.2E-2</v>
      </c>
      <c r="P12" s="106">
        <f t="shared" si="1"/>
        <v>12.79238688</v>
      </c>
      <c r="Q12" s="105">
        <f t="shared" si="2"/>
        <v>1.1999999999999999E-3</v>
      </c>
      <c r="R12" s="106">
        <f t="shared" si="3"/>
        <v>1.279238688</v>
      </c>
      <c r="S12">
        <v>100</v>
      </c>
      <c r="T12">
        <f>G12*S12*assumptions!$D$6</f>
        <v>30940</v>
      </c>
      <c r="U12">
        <v>10.9</v>
      </c>
      <c r="V12" s="57">
        <v>5.5555555555555552E-2</v>
      </c>
      <c r="W12" s="48">
        <v>1464.33</v>
      </c>
      <c r="X12" s="48">
        <f t="shared" si="10"/>
        <v>1420.4000999999998</v>
      </c>
      <c r="Y12" s="51">
        <f>X12*assumptions!$C$7</f>
        <v>1846.5201299999999</v>
      </c>
      <c r="Z12" s="48">
        <f t="shared" si="11"/>
        <v>43.929899999999996</v>
      </c>
      <c r="AA12" s="51">
        <f>Z12*assumptions!$C$8</f>
        <v>79.073819999999998</v>
      </c>
      <c r="AB12" s="70">
        <v>30</v>
      </c>
      <c r="AC12">
        <v>2</v>
      </c>
      <c r="AD12">
        <v>3</v>
      </c>
      <c r="AE12" s="49">
        <v>3.5</v>
      </c>
      <c r="AF12" s="51">
        <v>598.5</v>
      </c>
      <c r="AG12" s="51">
        <v>5024</v>
      </c>
      <c r="AH12" s="51">
        <v>10640</v>
      </c>
      <c r="AI12" s="51">
        <v>2660</v>
      </c>
      <c r="AJ12" s="51">
        <v>831</v>
      </c>
      <c r="AK12" s="51">
        <v>2550</v>
      </c>
      <c r="AL12" s="71">
        <v>1811</v>
      </c>
      <c r="AM12" s="51">
        <f t="shared" si="12"/>
        <v>26040.093950000002</v>
      </c>
      <c r="AN12" s="59">
        <v>2550</v>
      </c>
      <c r="AO12" s="51">
        <v>38150</v>
      </c>
      <c r="AP12" s="51">
        <f t="shared" si="13"/>
        <v>40700</v>
      </c>
    </row>
    <row r="13" spans="1:49" x14ac:dyDescent="0.3">
      <c r="B13" s="27" t="s">
        <v>52</v>
      </c>
      <c r="C13" s="28" t="s">
        <v>45</v>
      </c>
      <c r="D13" s="28" t="s">
        <v>46</v>
      </c>
      <c r="E13" s="29">
        <f t="shared" si="14"/>
        <v>364</v>
      </c>
      <c r="F13" s="28">
        <f t="shared" si="5"/>
        <v>182</v>
      </c>
      <c r="G13" s="28">
        <f t="shared" si="6"/>
        <v>364</v>
      </c>
      <c r="H13" s="28">
        <f>_xlfn.XLOOKUP(B13,'[1]Baseline 2025'!$B:$B,'[1]Baseline 2025'!$C:$C)</f>
        <v>753</v>
      </c>
      <c r="I13" s="28">
        <f t="shared" si="7"/>
        <v>274092</v>
      </c>
      <c r="J13" s="28" t="str">
        <f>_xlfn.XLOOKUP(B13,'[1]Baseline 2025'!$B:$B,'[1]Baseline 2025'!$E:$E)</f>
        <v>Short Haul</v>
      </c>
      <c r="K13" s="28">
        <f>_xlfn.XLOOKUP(B13,'[1]Baseline 2025'!$B:$B,'[1]Baseline 2025'!$I:$I)/100</f>
        <v>20118.352800000001</v>
      </c>
      <c r="L13" s="28">
        <f t="shared" si="8"/>
        <v>2011835.28</v>
      </c>
      <c r="M13" s="28">
        <v>3.84</v>
      </c>
      <c r="N13" s="28">
        <f t="shared" si="9"/>
        <v>7725.4474752000006</v>
      </c>
      <c r="O13" s="28">
        <f t="shared" si="0"/>
        <v>1.2E-2</v>
      </c>
      <c r="P13" s="106">
        <f t="shared" si="1"/>
        <v>24.14202336</v>
      </c>
      <c r="Q13" s="105">
        <f t="shared" si="2"/>
        <v>1.1999999999999999E-3</v>
      </c>
      <c r="R13" s="106">
        <f t="shared" si="3"/>
        <v>2.4142023359999998</v>
      </c>
      <c r="S13">
        <v>100</v>
      </c>
      <c r="T13">
        <f>G13*S13*assumptions!$D$6</f>
        <v>30940</v>
      </c>
      <c r="U13">
        <v>10.9</v>
      </c>
      <c r="V13" s="57">
        <v>6.9444444444444448E-2</v>
      </c>
      <c r="W13" s="48">
        <v>2763.5099999999998</v>
      </c>
      <c r="X13" s="48">
        <f t="shared" si="10"/>
        <v>2680.6046999999999</v>
      </c>
      <c r="Y13" s="51">
        <f>X13*assumptions!$C$7</f>
        <v>3484.78611</v>
      </c>
      <c r="Z13" s="48">
        <f t="shared" si="11"/>
        <v>82.905299999999997</v>
      </c>
      <c r="AA13" s="51">
        <f>Z13*assumptions!$C$8</f>
        <v>149.22953999999999</v>
      </c>
      <c r="AB13" s="70">
        <v>75</v>
      </c>
      <c r="AC13">
        <v>2</v>
      </c>
      <c r="AD13">
        <v>3</v>
      </c>
      <c r="AE13" s="49">
        <v>3.5</v>
      </c>
      <c r="AF13" s="51">
        <v>747</v>
      </c>
      <c r="AG13" s="51">
        <v>5555</v>
      </c>
      <c r="AH13" s="51">
        <v>13280</v>
      </c>
      <c r="AI13" s="51">
        <v>3320</v>
      </c>
      <c r="AJ13" s="51">
        <v>1038</v>
      </c>
      <c r="AK13" s="51">
        <v>2550</v>
      </c>
      <c r="AL13" s="71">
        <v>2273</v>
      </c>
      <c r="AM13" s="51">
        <f t="shared" si="12"/>
        <v>32397.015650000001</v>
      </c>
      <c r="AN13" s="59">
        <v>6375</v>
      </c>
      <c r="AO13" s="51">
        <v>38150</v>
      </c>
      <c r="AP13" s="51">
        <f t="shared" si="13"/>
        <v>44525</v>
      </c>
    </row>
    <row r="14" spans="1:49" x14ac:dyDescent="0.3">
      <c r="B14" s="27" t="s">
        <v>53</v>
      </c>
      <c r="C14" s="28" t="s">
        <v>45</v>
      </c>
      <c r="D14" s="28" t="s">
        <v>46</v>
      </c>
      <c r="E14" s="29">
        <f t="shared" si="14"/>
        <v>364</v>
      </c>
      <c r="F14" s="28">
        <f t="shared" si="5"/>
        <v>182</v>
      </c>
      <c r="G14" s="28">
        <f t="shared" si="6"/>
        <v>364</v>
      </c>
      <c r="H14" s="28">
        <f>_xlfn.XLOOKUP(B14,'[1]Baseline 2025'!$B:$B,'[1]Baseline 2025'!$C:$C)</f>
        <v>1970</v>
      </c>
      <c r="I14" s="28">
        <f t="shared" si="7"/>
        <v>717080</v>
      </c>
      <c r="J14" s="28" t="str">
        <f>_xlfn.XLOOKUP(B14,'[1]Baseline 2025'!$B:$B,'[1]Baseline 2025'!$E:$E)</f>
        <v>Short Haul</v>
      </c>
      <c r="K14" s="28">
        <f>_xlfn.XLOOKUP(B14,'[1]Baseline 2025'!$B:$B,'[1]Baseline 2025'!$I:$I)/100</f>
        <v>52633.671999999991</v>
      </c>
      <c r="L14" s="28">
        <f t="shared" si="8"/>
        <v>5263367.1999999993</v>
      </c>
      <c r="M14" s="28">
        <v>3.84</v>
      </c>
      <c r="N14" s="28">
        <f t="shared" si="9"/>
        <v>20211.330047999996</v>
      </c>
      <c r="O14" s="28">
        <f t="shared" si="0"/>
        <v>1.2E-2</v>
      </c>
      <c r="P14" s="106">
        <f t="shared" si="1"/>
        <v>63.160406399999992</v>
      </c>
      <c r="Q14" s="105">
        <f t="shared" si="2"/>
        <v>1.1999999999999999E-3</v>
      </c>
      <c r="R14" s="106">
        <f t="shared" si="3"/>
        <v>6.316040639999998</v>
      </c>
      <c r="S14">
        <v>100</v>
      </c>
      <c r="T14">
        <f>G14*S14*assumptions!$D$6</f>
        <v>30940</v>
      </c>
      <c r="U14">
        <v>10.9</v>
      </c>
      <c r="V14" s="57">
        <v>0.125</v>
      </c>
      <c r="W14" s="48">
        <v>7229.9</v>
      </c>
      <c r="X14" s="48">
        <f t="shared" si="10"/>
        <v>7013.0029999999997</v>
      </c>
      <c r="Y14" s="51">
        <f>X14*assumptions!$C$7</f>
        <v>9116.9038999999993</v>
      </c>
      <c r="Z14" s="48">
        <f t="shared" si="11"/>
        <v>216.89699999999999</v>
      </c>
      <c r="AA14" s="51">
        <f>Z14*assumptions!$C$8</f>
        <v>390.41460000000001</v>
      </c>
      <c r="AB14" s="70">
        <v>250</v>
      </c>
      <c r="AC14">
        <v>2</v>
      </c>
      <c r="AD14">
        <v>3</v>
      </c>
      <c r="AE14" s="49">
        <v>3.5</v>
      </c>
      <c r="AF14" s="51">
        <v>1350</v>
      </c>
      <c r="AG14" s="51">
        <v>7380</v>
      </c>
      <c r="AH14" s="51">
        <v>24000</v>
      </c>
      <c r="AI14" s="51">
        <v>6000</v>
      </c>
      <c r="AJ14" s="51">
        <v>1875</v>
      </c>
      <c r="AK14" s="51">
        <v>2550</v>
      </c>
      <c r="AL14" s="71">
        <v>3763</v>
      </c>
      <c r="AM14" s="51">
        <f t="shared" si="12"/>
        <v>56425.318499999994</v>
      </c>
      <c r="AN14" s="72">
        <v>21250</v>
      </c>
      <c r="AO14" s="51">
        <v>38150</v>
      </c>
      <c r="AP14" s="51">
        <f t="shared" si="13"/>
        <v>59400</v>
      </c>
    </row>
    <row r="15" spans="1:49" x14ac:dyDescent="0.3">
      <c r="B15" s="27" t="s">
        <v>54</v>
      </c>
      <c r="C15" s="28" t="s">
        <v>45</v>
      </c>
      <c r="D15" s="28" t="s">
        <v>46</v>
      </c>
      <c r="E15" s="29">
        <f t="shared" si="14"/>
        <v>364</v>
      </c>
      <c r="F15" s="28">
        <f t="shared" si="5"/>
        <v>182</v>
      </c>
      <c r="G15" s="28">
        <f t="shared" si="6"/>
        <v>364</v>
      </c>
      <c r="H15" s="28">
        <f>_xlfn.XLOOKUP(B15,'[1]Baseline 2025'!$B:$B,'[1]Baseline 2025'!$C:$C)</f>
        <v>1848</v>
      </c>
      <c r="I15" s="28">
        <f t="shared" si="7"/>
        <v>672672</v>
      </c>
      <c r="J15" s="28" t="str">
        <f>_xlfn.XLOOKUP(B15,'[1]Baseline 2025'!$B:$B,'[1]Baseline 2025'!$E:$E)</f>
        <v>Short Haul</v>
      </c>
      <c r="K15" s="28">
        <f>_xlfn.XLOOKUP(B15,'[1]Baseline 2025'!$B:$B,'[1]Baseline 2025'!$I:$I)/100</f>
        <v>49374.124799999998</v>
      </c>
      <c r="L15" s="28">
        <f t="shared" si="8"/>
        <v>4937412.4799999995</v>
      </c>
      <c r="M15" s="28">
        <v>3.84</v>
      </c>
      <c r="N15" s="28">
        <f t="shared" si="9"/>
        <v>18959.663923199998</v>
      </c>
      <c r="O15" s="28">
        <f t="shared" si="0"/>
        <v>1.2E-2</v>
      </c>
      <c r="P15" s="106">
        <f t="shared" si="1"/>
        <v>59.248949759999995</v>
      </c>
      <c r="Q15" s="105">
        <f t="shared" si="2"/>
        <v>1.1999999999999999E-3</v>
      </c>
      <c r="R15" s="106">
        <f t="shared" si="3"/>
        <v>5.9248949759999983</v>
      </c>
      <c r="S15">
        <v>100</v>
      </c>
      <c r="T15">
        <f>G15*S15*assumptions!$D$6</f>
        <v>30940</v>
      </c>
      <c r="U15">
        <v>10.9</v>
      </c>
      <c r="V15" s="57">
        <v>0.13194444444444445</v>
      </c>
      <c r="W15" s="48">
        <v>6782.16</v>
      </c>
      <c r="X15" s="48">
        <f t="shared" si="10"/>
        <v>6578.6952000000001</v>
      </c>
      <c r="Y15" s="51">
        <f>X15*assumptions!$C$7</f>
        <v>8552.3037600000007</v>
      </c>
      <c r="Z15" s="48">
        <f t="shared" si="11"/>
        <v>203.4648</v>
      </c>
      <c r="AA15" s="51">
        <f>Z15*assumptions!$C$8</f>
        <v>366.23664000000002</v>
      </c>
      <c r="AB15" s="70">
        <v>264</v>
      </c>
      <c r="AC15">
        <v>2</v>
      </c>
      <c r="AD15">
        <v>3</v>
      </c>
      <c r="AE15" s="49">
        <v>3.5</v>
      </c>
      <c r="AF15" s="51">
        <v>1425.0150000000001</v>
      </c>
      <c r="AG15" s="51">
        <v>7197</v>
      </c>
      <c r="AH15" s="51">
        <v>25333.599999999999</v>
      </c>
      <c r="AI15" s="51">
        <v>6333.4</v>
      </c>
      <c r="AJ15" s="51">
        <v>1979</v>
      </c>
      <c r="AK15" s="51">
        <v>2550</v>
      </c>
      <c r="AL15" s="71">
        <v>3840</v>
      </c>
      <c r="AM15" s="51">
        <f t="shared" si="12"/>
        <v>57576.555400000005</v>
      </c>
      <c r="AN15" s="72">
        <v>22440</v>
      </c>
      <c r="AO15" s="51">
        <v>38150</v>
      </c>
      <c r="AP15" s="51">
        <f t="shared" si="13"/>
        <v>60590</v>
      </c>
    </row>
    <row r="16" spans="1:49" x14ac:dyDescent="0.3">
      <c r="B16" s="27" t="s">
        <v>55</v>
      </c>
      <c r="C16" s="28" t="s">
        <v>45</v>
      </c>
      <c r="D16" s="28" t="s">
        <v>46</v>
      </c>
      <c r="E16" s="29">
        <f t="shared" si="14"/>
        <v>364</v>
      </c>
      <c r="F16" s="28">
        <f t="shared" si="5"/>
        <v>182</v>
      </c>
      <c r="G16" s="28">
        <f t="shared" si="6"/>
        <v>364</v>
      </c>
      <c r="H16" s="28">
        <f>_xlfn.XLOOKUP(B16,'[1]Baseline 2025'!$B:$B,'[1]Baseline 2025'!$C:$C)</f>
        <v>665</v>
      </c>
      <c r="I16" s="28">
        <f t="shared" si="7"/>
        <v>242060</v>
      </c>
      <c r="J16" s="28" t="str">
        <f>_xlfn.XLOOKUP(B16,'[1]Baseline 2025'!$B:$B,'[1]Baseline 2025'!$E:$E)</f>
        <v>Short Haul</v>
      </c>
      <c r="K16" s="28">
        <f>_xlfn.XLOOKUP(B16,'[1]Baseline 2025'!$B:$B,'[1]Baseline 2025'!$I:$I)/100</f>
        <v>17767.203999999998</v>
      </c>
      <c r="L16" s="28">
        <f t="shared" si="8"/>
        <v>1776720.4</v>
      </c>
      <c r="M16" s="28">
        <v>3.84</v>
      </c>
      <c r="N16" s="28">
        <f t="shared" si="9"/>
        <v>6822.6063359999989</v>
      </c>
      <c r="O16" s="28">
        <f t="shared" si="0"/>
        <v>1.2E-2</v>
      </c>
      <c r="P16" s="106">
        <f t="shared" si="1"/>
        <v>21.320644799999997</v>
      </c>
      <c r="Q16" s="105">
        <f t="shared" si="2"/>
        <v>1.1999999999999999E-3</v>
      </c>
      <c r="R16" s="106">
        <f t="shared" si="3"/>
        <v>2.1320644799999995</v>
      </c>
      <c r="S16">
        <v>100</v>
      </c>
      <c r="T16">
        <f>G16*S16*assumptions!$D$6</f>
        <v>30940</v>
      </c>
      <c r="U16">
        <v>10.9</v>
      </c>
      <c r="V16" s="57">
        <v>5.9027777777777776E-2</v>
      </c>
      <c r="W16" s="48">
        <v>2440.5499999999997</v>
      </c>
      <c r="X16" s="48">
        <f t="shared" si="10"/>
        <v>2367.3334999999997</v>
      </c>
      <c r="Y16" s="51">
        <f>X16*assumptions!$C$7</f>
        <v>3077.5335499999997</v>
      </c>
      <c r="Z16" s="48">
        <f t="shared" si="11"/>
        <v>73.216499999999982</v>
      </c>
      <c r="AA16" s="51">
        <f>Z16*assumptions!$C$8</f>
        <v>131.78969999999998</v>
      </c>
      <c r="AB16" s="70">
        <v>49</v>
      </c>
      <c r="AC16">
        <v>2</v>
      </c>
      <c r="AD16">
        <v>3</v>
      </c>
      <c r="AE16" s="49">
        <v>3.5</v>
      </c>
      <c r="AF16" s="51">
        <v>639</v>
      </c>
      <c r="AG16" s="51">
        <v>5423</v>
      </c>
      <c r="AH16" s="51">
        <v>11360</v>
      </c>
      <c r="AI16" s="51">
        <v>2840</v>
      </c>
      <c r="AJ16" s="51">
        <v>888</v>
      </c>
      <c r="AK16" s="51">
        <v>2550</v>
      </c>
      <c r="AL16" s="71">
        <v>1923</v>
      </c>
      <c r="AM16" s="51">
        <f t="shared" si="12"/>
        <v>28832.323250000001</v>
      </c>
      <c r="AN16" s="72">
        <v>4143.75</v>
      </c>
      <c r="AO16" s="51">
        <v>38150</v>
      </c>
      <c r="AP16" s="51">
        <f t="shared" si="13"/>
        <v>42293.75</v>
      </c>
    </row>
    <row r="17" spans="1:42" x14ac:dyDescent="0.3">
      <c r="B17" s="27" t="s">
        <v>56</v>
      </c>
      <c r="C17" s="28" t="s">
        <v>45</v>
      </c>
      <c r="D17" s="28" t="s">
        <v>46</v>
      </c>
      <c r="E17" s="29">
        <f t="shared" si="14"/>
        <v>364</v>
      </c>
      <c r="F17" s="28">
        <f t="shared" si="5"/>
        <v>182</v>
      </c>
      <c r="G17" s="28">
        <f t="shared" si="6"/>
        <v>364</v>
      </c>
      <c r="H17" s="28">
        <f>_xlfn.XLOOKUP(B17,'[1]Baseline 2025'!$B:$B,'[1]Baseline 2025'!$C:$C)</f>
        <v>961</v>
      </c>
      <c r="I17" s="28">
        <f t="shared" si="7"/>
        <v>349804</v>
      </c>
      <c r="J17" s="28" t="str">
        <f>_xlfn.XLOOKUP(B17,'[1]Baseline 2025'!$B:$B,'[1]Baseline 2025'!$E:$E)</f>
        <v>Short Haul</v>
      </c>
      <c r="K17" s="28">
        <f>_xlfn.XLOOKUP(B17,'[1]Baseline 2025'!$B:$B,'[1]Baseline 2025'!$I:$I)/100</f>
        <v>25675.613599999997</v>
      </c>
      <c r="L17" s="28">
        <f t="shared" si="8"/>
        <v>2567561.36</v>
      </c>
      <c r="M17" s="28">
        <v>3.84</v>
      </c>
      <c r="N17" s="28">
        <f t="shared" si="9"/>
        <v>9859.4356223999985</v>
      </c>
      <c r="O17" s="28">
        <f t="shared" si="0"/>
        <v>1.2E-2</v>
      </c>
      <c r="P17" s="106">
        <f t="shared" si="1"/>
        <v>30.81073632</v>
      </c>
      <c r="Q17" s="105">
        <f t="shared" si="2"/>
        <v>1.1999999999999999E-3</v>
      </c>
      <c r="R17" s="106">
        <f t="shared" si="3"/>
        <v>3.0810736319999998</v>
      </c>
      <c r="S17">
        <v>100</v>
      </c>
      <c r="T17">
        <f>G17*S17*assumptions!$D$6</f>
        <v>30940</v>
      </c>
      <c r="U17">
        <v>10.9</v>
      </c>
      <c r="V17" s="57">
        <v>7.2916666666666671E-2</v>
      </c>
      <c r="W17" s="48">
        <v>3526.87</v>
      </c>
      <c r="X17" s="48">
        <f t="shared" si="10"/>
        <v>3421.0638999999996</v>
      </c>
      <c r="Y17" s="51">
        <f>X17*assumptions!$C$7</f>
        <v>4447.3830699999999</v>
      </c>
      <c r="Z17" s="48">
        <f t="shared" si="11"/>
        <v>105.80609999999999</v>
      </c>
      <c r="AA17" s="51">
        <f>Z17*assumptions!$C$8</f>
        <v>190.45097999999999</v>
      </c>
      <c r="AB17" s="70">
        <v>52.5</v>
      </c>
      <c r="AC17">
        <v>2</v>
      </c>
      <c r="AD17">
        <v>3</v>
      </c>
      <c r="AE17" s="49">
        <v>3.5</v>
      </c>
      <c r="AF17" s="51">
        <v>787.5</v>
      </c>
      <c r="AG17" s="51">
        <v>5867</v>
      </c>
      <c r="AH17" s="51">
        <v>14000</v>
      </c>
      <c r="AI17" s="51">
        <v>3500</v>
      </c>
      <c r="AJ17" s="51">
        <v>1094</v>
      </c>
      <c r="AK17" s="51">
        <v>2550</v>
      </c>
      <c r="AL17" s="71">
        <v>2318</v>
      </c>
      <c r="AM17" s="51">
        <f>Y17+AF17+AG17+AH17+AI17+AJ17+AK17+AL17+AA17</f>
        <v>34754.334049999998</v>
      </c>
      <c r="AN17" s="72">
        <v>4462.5</v>
      </c>
      <c r="AO17" s="51">
        <v>38150</v>
      </c>
      <c r="AP17" s="51">
        <f t="shared" si="13"/>
        <v>42612.5</v>
      </c>
    </row>
    <row r="18" spans="1:42" x14ac:dyDescent="0.3">
      <c r="B18" s="27" t="s">
        <v>57</v>
      </c>
      <c r="C18" s="28" t="s">
        <v>45</v>
      </c>
      <c r="D18" s="28" t="s">
        <v>46</v>
      </c>
      <c r="E18" s="29">
        <f t="shared" si="14"/>
        <v>364</v>
      </c>
      <c r="F18" s="28">
        <f t="shared" si="5"/>
        <v>182</v>
      </c>
      <c r="G18" s="28">
        <f t="shared" si="6"/>
        <v>364</v>
      </c>
      <c r="H18" s="28">
        <f>_xlfn.XLOOKUP(B18,'[1]Baseline 2025'!$B:$B,'[1]Baseline 2025'!$C:$C)</f>
        <v>1426</v>
      </c>
      <c r="I18" s="28">
        <f t="shared" si="7"/>
        <v>519064</v>
      </c>
      <c r="J18" s="28" t="str">
        <f>_xlfn.XLOOKUP(B18,'[1]Baseline 2025'!$B:$B,'[1]Baseline 2025'!$E:$E)</f>
        <v>Short Haul</v>
      </c>
      <c r="K18" s="28">
        <f>_xlfn.XLOOKUP(B18,'[1]Baseline 2025'!$B:$B,'[1]Baseline 2025'!$I:$I)/100</f>
        <v>38099.297600000005</v>
      </c>
      <c r="L18" s="28">
        <f t="shared" si="8"/>
        <v>3809929.7600000007</v>
      </c>
      <c r="M18" s="28">
        <v>3.84</v>
      </c>
      <c r="N18" s="28">
        <f t="shared" si="9"/>
        <v>14630.130278400002</v>
      </c>
      <c r="O18" s="28">
        <f t="shared" si="0"/>
        <v>1.2E-2</v>
      </c>
      <c r="P18" s="106">
        <f t="shared" si="1"/>
        <v>45.719157120000013</v>
      </c>
      <c r="Q18" s="105">
        <f t="shared" si="2"/>
        <v>1.1999999999999999E-3</v>
      </c>
      <c r="R18" s="106">
        <f t="shared" si="3"/>
        <v>4.5719157120000009</v>
      </c>
      <c r="S18">
        <v>100</v>
      </c>
      <c r="T18">
        <f>G18*S18*assumptions!$D$6</f>
        <v>30940</v>
      </c>
      <c r="U18">
        <v>10.9</v>
      </c>
      <c r="V18" s="57">
        <v>0.10069444444444445</v>
      </c>
      <c r="W18" s="48">
        <v>5233.42</v>
      </c>
      <c r="X18" s="48">
        <f t="shared" si="10"/>
        <v>5076.4174000000003</v>
      </c>
      <c r="Y18" s="51">
        <f>X18*assumptions!$C$7</f>
        <v>6599.3426200000004</v>
      </c>
      <c r="Z18" s="48">
        <f t="shared" si="11"/>
        <v>157.0026</v>
      </c>
      <c r="AA18" s="51">
        <f>Z18*assumptions!$C$8</f>
        <v>282.60468000000003</v>
      </c>
      <c r="AB18" s="70">
        <v>128</v>
      </c>
      <c r="AC18">
        <v>2</v>
      </c>
      <c r="AD18">
        <v>3</v>
      </c>
      <c r="AE18" s="49">
        <v>3.5</v>
      </c>
      <c r="AF18" s="51">
        <v>1089</v>
      </c>
      <c r="AG18" s="51">
        <v>6564</v>
      </c>
      <c r="AH18" s="51">
        <v>19360</v>
      </c>
      <c r="AI18" s="51">
        <v>4840</v>
      </c>
      <c r="AJ18" s="51">
        <v>1513</v>
      </c>
      <c r="AK18" s="51">
        <v>2550</v>
      </c>
      <c r="AL18" s="71">
        <v>3058</v>
      </c>
      <c r="AM18" s="51">
        <f t="shared" si="12"/>
        <v>45855.947299999993</v>
      </c>
      <c r="AN18" s="72">
        <v>10837.5</v>
      </c>
      <c r="AO18" s="51">
        <v>38150</v>
      </c>
      <c r="AP18" s="51">
        <f t="shared" si="13"/>
        <v>48987.5</v>
      </c>
    </row>
    <row r="19" spans="1:42" x14ac:dyDescent="0.3">
      <c r="B19" s="27" t="s">
        <v>58</v>
      </c>
      <c r="C19" s="28" t="s">
        <v>45</v>
      </c>
      <c r="D19" s="28" t="s">
        <v>46</v>
      </c>
      <c r="E19" s="29">
        <f t="shared" si="14"/>
        <v>364</v>
      </c>
      <c r="F19" s="28">
        <f t="shared" si="5"/>
        <v>182</v>
      </c>
      <c r="G19" s="28">
        <f t="shared" si="6"/>
        <v>364</v>
      </c>
      <c r="H19" s="28">
        <f>_xlfn.XLOOKUP(B19,'[1]Baseline 2025'!$B:$B,'[1]Baseline 2025'!$C:$C)</f>
        <v>962</v>
      </c>
      <c r="I19" s="28">
        <f t="shared" si="7"/>
        <v>350168</v>
      </c>
      <c r="J19" s="28" t="str">
        <f>_xlfn.XLOOKUP(B19,'[1]Baseline 2025'!$B:$B,'[1]Baseline 2025'!$E:$E)</f>
        <v>Short Haul</v>
      </c>
      <c r="K19" s="28">
        <f>_xlfn.XLOOKUP(B19,'[1]Baseline 2025'!$B:$B,'[1]Baseline 2025'!$I:$I)/100</f>
        <v>25702.331200000001</v>
      </c>
      <c r="L19" s="28">
        <f t="shared" si="8"/>
        <v>2570233.12</v>
      </c>
      <c r="M19" s="28">
        <v>3.84</v>
      </c>
      <c r="N19" s="28">
        <f t="shared" si="9"/>
        <v>9869.6951807999994</v>
      </c>
      <c r="O19" s="28">
        <f t="shared" si="0"/>
        <v>1.2E-2</v>
      </c>
      <c r="P19" s="106">
        <f t="shared" si="1"/>
        <v>30.842797440000002</v>
      </c>
      <c r="Q19" s="105">
        <f t="shared" si="2"/>
        <v>1.1999999999999999E-3</v>
      </c>
      <c r="R19" s="106">
        <f t="shared" si="3"/>
        <v>3.0842797439999998</v>
      </c>
      <c r="S19">
        <v>100</v>
      </c>
      <c r="T19">
        <f>G19*S19*assumptions!$D$6</f>
        <v>30940</v>
      </c>
      <c r="U19">
        <v>10.9</v>
      </c>
      <c r="V19" s="57">
        <v>7.2916666666666671E-2</v>
      </c>
      <c r="W19" s="48">
        <v>3530.54</v>
      </c>
      <c r="X19" s="48">
        <f t="shared" si="10"/>
        <v>3424.6237999999998</v>
      </c>
      <c r="Y19" s="51">
        <f>X19*assumptions!$C$7</f>
        <v>4452.0109400000001</v>
      </c>
      <c r="Z19" s="48">
        <f t="shared" si="11"/>
        <v>105.91619999999999</v>
      </c>
      <c r="AA19" s="51">
        <f>Z19*assumptions!$C$8</f>
        <v>190.64915999999999</v>
      </c>
      <c r="AB19" s="70">
        <v>60.75</v>
      </c>
      <c r="AC19">
        <v>2</v>
      </c>
      <c r="AD19">
        <v>3</v>
      </c>
      <c r="AE19" s="49">
        <v>3.5</v>
      </c>
      <c r="AF19" s="51">
        <v>787.5</v>
      </c>
      <c r="AG19" s="51">
        <v>5868</v>
      </c>
      <c r="AH19" s="51">
        <v>14000</v>
      </c>
      <c r="AI19" s="51">
        <v>3500</v>
      </c>
      <c r="AJ19" s="51">
        <v>1094</v>
      </c>
      <c r="AK19" s="51">
        <v>2550</v>
      </c>
      <c r="AL19" s="71">
        <v>2318</v>
      </c>
      <c r="AM19" s="51">
        <f t="shared" si="12"/>
        <v>34760.160100000001</v>
      </c>
      <c r="AN19" s="72">
        <v>5163.75</v>
      </c>
      <c r="AO19" s="51">
        <v>38150</v>
      </c>
      <c r="AP19" s="51">
        <f t="shared" si="13"/>
        <v>43313.75</v>
      </c>
    </row>
    <row r="20" spans="1:42" x14ac:dyDescent="0.3">
      <c r="B20" s="27" t="s">
        <v>59</v>
      </c>
      <c r="C20" s="28" t="s">
        <v>45</v>
      </c>
      <c r="D20" s="28" t="s">
        <v>46</v>
      </c>
      <c r="E20" s="29">
        <f t="shared" si="14"/>
        <v>364</v>
      </c>
      <c r="F20" s="28">
        <f t="shared" si="5"/>
        <v>182</v>
      </c>
      <c r="G20" s="28">
        <f t="shared" si="6"/>
        <v>364</v>
      </c>
      <c r="H20" s="28">
        <f>_xlfn.XLOOKUP(B20,'[1]Baseline 2025'!$B:$B,'[1]Baseline 2025'!$C:$C)</f>
        <v>1105</v>
      </c>
      <c r="I20" s="28">
        <f t="shared" si="7"/>
        <v>402220</v>
      </c>
      <c r="J20" s="28" t="str">
        <f>_xlfn.XLOOKUP(B20,'[1]Baseline 2025'!$B:$B,'[1]Baseline 2025'!$E:$E)</f>
        <v>Short Haul</v>
      </c>
      <c r="K20" s="28">
        <f>_xlfn.XLOOKUP(B20,'[1]Baseline 2025'!$B:$B,'[1]Baseline 2025'!$I:$I)/100</f>
        <v>29522.948000000004</v>
      </c>
      <c r="L20" s="28">
        <f t="shared" si="8"/>
        <v>2952294.8000000003</v>
      </c>
      <c r="M20" s="28">
        <v>3.84</v>
      </c>
      <c r="N20" s="28">
        <f t="shared" si="9"/>
        <v>11336.812032000002</v>
      </c>
      <c r="O20" s="28">
        <f t="shared" si="0"/>
        <v>1.2E-2</v>
      </c>
      <c r="P20" s="106">
        <f t="shared" si="1"/>
        <v>35.427537600000001</v>
      </c>
      <c r="Q20" s="105">
        <f t="shared" si="2"/>
        <v>1.1999999999999999E-3</v>
      </c>
      <c r="R20" s="106">
        <f t="shared" si="3"/>
        <v>3.5427537600000001</v>
      </c>
      <c r="S20">
        <v>100</v>
      </c>
      <c r="T20">
        <f>G20*S20*assumptions!$D$6</f>
        <v>30940</v>
      </c>
      <c r="U20">
        <v>10.9</v>
      </c>
      <c r="V20" s="57">
        <v>7.9861111111111105E-2</v>
      </c>
      <c r="W20" s="48">
        <v>4055.35</v>
      </c>
      <c r="X20" s="48">
        <f t="shared" si="10"/>
        <v>3933.6895</v>
      </c>
      <c r="Y20" s="51">
        <f>X20*assumptions!$C$7</f>
        <v>5113.7963500000005</v>
      </c>
      <c r="Z20" s="48">
        <f t="shared" si="11"/>
        <v>121.6605</v>
      </c>
      <c r="AA20" s="51">
        <f>Z20*assumptions!$C$8</f>
        <v>218.9889</v>
      </c>
      <c r="AB20" s="70">
        <v>66</v>
      </c>
      <c r="AC20">
        <v>2</v>
      </c>
      <c r="AD20">
        <v>3</v>
      </c>
      <c r="AE20" s="49">
        <v>3.5</v>
      </c>
      <c r="AF20" s="51">
        <v>862.51499999999999</v>
      </c>
      <c r="AG20" s="51">
        <v>6083</v>
      </c>
      <c r="AH20" s="51">
        <v>15333.6</v>
      </c>
      <c r="AI20" s="51">
        <v>3833.4</v>
      </c>
      <c r="AJ20" s="51">
        <v>1198</v>
      </c>
      <c r="AK20" s="51">
        <v>2550</v>
      </c>
      <c r="AL20" s="71">
        <v>2515</v>
      </c>
      <c r="AM20" s="51">
        <f t="shared" si="12"/>
        <v>37708.30025</v>
      </c>
      <c r="AN20" s="72">
        <v>5610</v>
      </c>
      <c r="AO20" s="51">
        <v>38150</v>
      </c>
      <c r="AP20" s="51">
        <f t="shared" si="13"/>
        <v>43760</v>
      </c>
    </row>
    <row r="21" spans="1:42" x14ac:dyDescent="0.3">
      <c r="B21" s="27" t="s">
        <v>60</v>
      </c>
      <c r="C21" s="28" t="s">
        <v>45</v>
      </c>
      <c r="D21" s="28" t="s">
        <v>46</v>
      </c>
      <c r="E21" s="29">
        <f>14*52*2</f>
        <v>1456</v>
      </c>
      <c r="F21" s="28">
        <f t="shared" si="5"/>
        <v>728</v>
      </c>
      <c r="G21" s="28">
        <f t="shared" si="6"/>
        <v>1456</v>
      </c>
      <c r="H21" s="28">
        <f>_xlfn.XLOOKUP(B21,'[1]Baseline 2025'!$B:$B,'[1]Baseline 2025'!$C:$C)</f>
        <v>603</v>
      </c>
      <c r="I21" s="28">
        <f t="shared" si="7"/>
        <v>877968</v>
      </c>
      <c r="J21" s="28" t="str">
        <f>_xlfn.XLOOKUP(B21,'[1]Baseline 2025'!$B:$B,'[1]Baseline 2025'!$E:$E)</f>
        <v>Short Haul</v>
      </c>
      <c r="K21" s="28">
        <f>_xlfn.XLOOKUP(B21,'[1]Baseline 2025'!$B:$B,'[1]Baseline 2025'!$I:$I)/100</f>
        <v>32221.425599999995</v>
      </c>
      <c r="L21" s="28">
        <f t="shared" si="8"/>
        <v>3222142.5599999996</v>
      </c>
      <c r="M21" s="28">
        <v>3.84</v>
      </c>
      <c r="N21" s="28">
        <f t="shared" si="9"/>
        <v>12373.027430399998</v>
      </c>
      <c r="O21" s="28">
        <f t="shared" si="0"/>
        <v>1.2E-2</v>
      </c>
      <c r="P21" s="106">
        <f t="shared" si="1"/>
        <v>38.665710719999993</v>
      </c>
      <c r="Q21" s="105">
        <f t="shared" si="2"/>
        <v>1.1999999999999999E-3</v>
      </c>
      <c r="R21" s="106">
        <f t="shared" si="3"/>
        <v>3.8665710719999993</v>
      </c>
      <c r="S21">
        <v>100</v>
      </c>
      <c r="T21">
        <f>G21*S21*assumptions!$D$6</f>
        <v>123760</v>
      </c>
      <c r="U21">
        <v>10.9</v>
      </c>
      <c r="V21" s="57">
        <v>5.9027777777777776E-2</v>
      </c>
      <c r="W21" s="48">
        <v>2213.0099999999998</v>
      </c>
      <c r="X21" s="48">
        <f t="shared" si="10"/>
        <v>2146.6196999999997</v>
      </c>
      <c r="Y21" s="51">
        <f>X21*assumptions!$C$7</f>
        <v>2790.6056099999996</v>
      </c>
      <c r="Z21" s="48">
        <f t="shared" si="11"/>
        <v>66.390299999999996</v>
      </c>
      <c r="AA21" s="51">
        <f>Z21*assumptions!$C$8</f>
        <v>119.50254</v>
      </c>
      <c r="AB21" s="70">
        <v>48.75</v>
      </c>
      <c r="AC21">
        <v>2</v>
      </c>
      <c r="AD21">
        <v>3</v>
      </c>
      <c r="AE21" s="49">
        <v>3.5</v>
      </c>
      <c r="AF21" s="51">
        <v>637.51499999999999</v>
      </c>
      <c r="AG21" s="51">
        <v>5330</v>
      </c>
      <c r="AH21" s="51">
        <v>11333.6</v>
      </c>
      <c r="AI21" s="51">
        <v>2833.4</v>
      </c>
      <c r="AJ21" s="51">
        <v>885</v>
      </c>
      <c r="AK21" s="51">
        <v>2550</v>
      </c>
      <c r="AL21" s="71">
        <v>1892</v>
      </c>
      <c r="AM21" s="51">
        <f t="shared" si="12"/>
        <v>28371.623150000003</v>
      </c>
      <c r="AN21" s="72">
        <v>4143.75</v>
      </c>
      <c r="AO21" s="51">
        <v>38150</v>
      </c>
      <c r="AP21" s="51">
        <f t="shared" si="13"/>
        <v>42293.75</v>
      </c>
    </row>
    <row r="22" spans="1:42" x14ac:dyDescent="0.3">
      <c r="B22" s="23" t="s">
        <v>61</v>
      </c>
      <c r="C22" s="24" t="s">
        <v>62</v>
      </c>
      <c r="D22" s="24" t="s">
        <v>46</v>
      </c>
      <c r="E22" s="25">
        <f>3*52*2</f>
        <v>312</v>
      </c>
      <c r="F22" s="24">
        <f t="shared" si="5"/>
        <v>156</v>
      </c>
      <c r="G22" s="24">
        <f t="shared" si="6"/>
        <v>312</v>
      </c>
      <c r="H22" s="24">
        <f>_xlfn.XLOOKUP(B22,'[1]Baseline 2025'!$B:$B,'[1]Baseline 2025'!$C:$C)</f>
        <v>9217</v>
      </c>
      <c r="I22" s="24">
        <f t="shared" si="7"/>
        <v>2875704</v>
      </c>
      <c r="J22" s="24" t="str">
        <f>_xlfn.XLOOKUP(B22,'[1]Baseline 2025'!$B:$B,'[1]Baseline 2025'!$E:$E)</f>
        <v>Long Haul</v>
      </c>
      <c r="K22" s="24">
        <f>_xlfn.XLOOKUP(B22,'[1]Baseline 2025'!$B:$B,'[1]Baseline 2025'!$I:$I)/100</f>
        <v>213377.23679999998</v>
      </c>
      <c r="L22" s="24">
        <f t="shared" si="8"/>
        <v>21337723.68</v>
      </c>
      <c r="M22" s="24">
        <v>3.84</v>
      </c>
      <c r="N22" s="24">
        <f t="shared" si="9"/>
        <v>81936.858931199997</v>
      </c>
      <c r="O22" s="28">
        <f t="shared" si="0"/>
        <v>1.2E-2</v>
      </c>
      <c r="P22" s="106">
        <f t="shared" si="1"/>
        <v>256.05268416000001</v>
      </c>
      <c r="Q22" s="105">
        <f t="shared" si="2"/>
        <v>1.1999999999999999E-3</v>
      </c>
      <c r="R22" s="106">
        <f t="shared" si="3"/>
        <v>25.605268415999998</v>
      </c>
      <c r="S22">
        <v>300</v>
      </c>
      <c r="T22">
        <f>G22*S22*assumptions!$D$6</f>
        <v>79560</v>
      </c>
      <c r="U22">
        <v>20</v>
      </c>
      <c r="V22" s="57">
        <v>0.46875</v>
      </c>
      <c r="W22" s="48">
        <v>68390.14</v>
      </c>
      <c r="X22" s="48">
        <f t="shared" si="10"/>
        <v>66338.435799999992</v>
      </c>
      <c r="Y22" s="51">
        <f>X22*assumptions!$C$7</f>
        <v>86239.966539999994</v>
      </c>
      <c r="Z22" s="48">
        <f t="shared" si="11"/>
        <v>2051.7042000000001</v>
      </c>
      <c r="AA22" s="51">
        <f>Z22*assumptions!$C$8</f>
        <v>3693.0675600000004</v>
      </c>
      <c r="AB22" s="70">
        <v>920</v>
      </c>
      <c r="AC22">
        <v>3</v>
      </c>
      <c r="AD22">
        <v>12</v>
      </c>
      <c r="AE22" s="49">
        <v>3.5</v>
      </c>
      <c r="AF22" s="51">
        <v>11812.5</v>
      </c>
      <c r="AG22" s="51">
        <v>27101</v>
      </c>
      <c r="AH22" s="51">
        <v>90000</v>
      </c>
      <c r="AI22" s="51">
        <v>22500</v>
      </c>
      <c r="AJ22" s="51">
        <v>21094</v>
      </c>
      <c r="AK22" s="51">
        <v>7650</v>
      </c>
      <c r="AL22" s="71">
        <v>19300</v>
      </c>
      <c r="AM22" s="51">
        <f t="shared" si="12"/>
        <v>289390.53409999999</v>
      </c>
      <c r="AN22" s="72">
        <v>234600</v>
      </c>
      <c r="AO22" s="51">
        <v>70000</v>
      </c>
      <c r="AP22" s="51">
        <f t="shared" si="13"/>
        <v>304600</v>
      </c>
    </row>
    <row r="23" spans="1:42" x14ac:dyDescent="0.3">
      <c r="B23" s="23" t="s">
        <v>63</v>
      </c>
      <c r="C23" s="24" t="s">
        <v>62</v>
      </c>
      <c r="D23" s="24" t="s">
        <v>46</v>
      </c>
      <c r="E23" s="25">
        <f>3*52*2</f>
        <v>312</v>
      </c>
      <c r="F23" s="24">
        <f t="shared" si="5"/>
        <v>156</v>
      </c>
      <c r="G23" s="24">
        <f t="shared" si="6"/>
        <v>312</v>
      </c>
      <c r="H23" s="24">
        <f>_xlfn.XLOOKUP(B23,'[1]Baseline 2025'!$B:$B,'[1]Baseline 2025'!$C:$C)</f>
        <v>9285</v>
      </c>
      <c r="I23" s="24">
        <f t="shared" si="7"/>
        <v>2896920</v>
      </c>
      <c r="J23" s="24" t="str">
        <f>_xlfn.XLOOKUP(B23,'[1]Baseline 2025'!$B:$B,'[1]Baseline 2025'!$E:$E)</f>
        <v>Long Haul</v>
      </c>
      <c r="K23" s="24">
        <f>_xlfn.XLOOKUP(B23,'[1]Baseline 2025'!$B:$B,'[1]Baseline 2025'!$I:$I)/100</f>
        <v>214951.46399999998</v>
      </c>
      <c r="L23" s="24">
        <f t="shared" si="8"/>
        <v>21495146.399999999</v>
      </c>
      <c r="M23" s="24">
        <v>3.84</v>
      </c>
      <c r="N23" s="24">
        <f t="shared" si="9"/>
        <v>82541.362175999981</v>
      </c>
      <c r="O23" s="28">
        <f t="shared" si="0"/>
        <v>1.2E-2</v>
      </c>
      <c r="P23" s="106">
        <f t="shared" si="1"/>
        <v>257.94175679999995</v>
      </c>
      <c r="Q23" s="105">
        <f t="shared" si="2"/>
        <v>1.1999999999999999E-3</v>
      </c>
      <c r="R23" s="106">
        <f t="shared" si="3"/>
        <v>25.794175679999995</v>
      </c>
      <c r="S23">
        <v>300</v>
      </c>
      <c r="T23">
        <f>G23*S23*assumptions!$D$6</f>
        <v>79560</v>
      </c>
      <c r="U23">
        <v>20</v>
      </c>
      <c r="V23" s="57">
        <v>0.46875</v>
      </c>
      <c r="W23" s="48">
        <v>68894.7</v>
      </c>
      <c r="X23" s="48">
        <f t="shared" si="10"/>
        <v>66827.858999999997</v>
      </c>
      <c r="Y23" s="51">
        <f>X23*assumptions!$C$7</f>
        <v>86876.216700000004</v>
      </c>
      <c r="Z23" s="48">
        <f t="shared" si="11"/>
        <v>2066.8409999999999</v>
      </c>
      <c r="AA23" s="51">
        <f>Z23*assumptions!$C$8</f>
        <v>3720.3137999999999</v>
      </c>
      <c r="AB23" s="70">
        <v>924</v>
      </c>
      <c r="AC23">
        <v>3</v>
      </c>
      <c r="AD23">
        <v>12</v>
      </c>
      <c r="AE23" s="49">
        <v>3.5</v>
      </c>
      <c r="AF23" s="51">
        <v>11812.5</v>
      </c>
      <c r="AG23" s="51">
        <v>27203</v>
      </c>
      <c r="AH23" s="51">
        <v>90000</v>
      </c>
      <c r="AI23" s="51">
        <v>22500</v>
      </c>
      <c r="AJ23" s="51">
        <v>21094</v>
      </c>
      <c r="AK23" s="51">
        <v>7650</v>
      </c>
      <c r="AL23" s="70">
        <v>19354</v>
      </c>
      <c r="AM23" s="51">
        <f t="shared" si="12"/>
        <v>290210.03049999999</v>
      </c>
      <c r="AN23" s="72">
        <v>235620</v>
      </c>
      <c r="AO23" s="51">
        <v>70000</v>
      </c>
      <c r="AP23" s="51">
        <f t="shared" si="13"/>
        <v>305620</v>
      </c>
    </row>
    <row r="24" spans="1:42" x14ac:dyDescent="0.3">
      <c r="B24" s="23" t="s">
        <v>64</v>
      </c>
      <c r="C24" s="24" t="s">
        <v>62</v>
      </c>
      <c r="D24" s="24" t="s">
        <v>46</v>
      </c>
      <c r="E24" s="25">
        <f>52*2</f>
        <v>104</v>
      </c>
      <c r="F24" s="24">
        <f t="shared" si="5"/>
        <v>52</v>
      </c>
      <c r="G24" s="24">
        <f t="shared" si="6"/>
        <v>104</v>
      </c>
      <c r="H24" s="24">
        <f>_xlfn.XLOOKUP(B24,'[1]Baseline 2025'!$B:$B,'[1]Baseline 2025'!$C:$C)</f>
        <v>8886</v>
      </c>
      <c r="I24" s="24">
        <f t="shared" si="7"/>
        <v>924144</v>
      </c>
      <c r="J24" s="24" t="str">
        <f>_xlfn.XLOOKUP(B24,'[1]Baseline 2025'!$B:$B,'[1]Baseline 2025'!$E:$E)</f>
        <v>Long Haul</v>
      </c>
      <c r="K24" s="24">
        <f>_xlfn.XLOOKUP(B24,'[1]Baseline 2025'!$B:$B,'[1]Baseline 2025'!$I:$I)/100</f>
        <v>68571.484799999991</v>
      </c>
      <c r="L24" s="24">
        <f t="shared" si="8"/>
        <v>6857148.4799999995</v>
      </c>
      <c r="M24" s="24">
        <v>3.84</v>
      </c>
      <c r="N24" s="24">
        <f t="shared" si="9"/>
        <v>26331.450163199999</v>
      </c>
      <c r="O24" s="28">
        <f t="shared" si="0"/>
        <v>1.2E-2</v>
      </c>
      <c r="P24" s="106">
        <f t="shared" si="1"/>
        <v>82.285781759999992</v>
      </c>
      <c r="Q24" s="105">
        <f t="shared" si="2"/>
        <v>1.1999999999999999E-3</v>
      </c>
      <c r="R24" s="106">
        <f t="shared" si="3"/>
        <v>8.2285781759999992</v>
      </c>
      <c r="S24">
        <v>300</v>
      </c>
      <c r="T24">
        <f>G24*S24*assumptions!$D$6</f>
        <v>26520</v>
      </c>
      <c r="U24">
        <v>20</v>
      </c>
      <c r="V24" s="57">
        <v>0.45833333333333331</v>
      </c>
      <c r="W24" s="48">
        <v>65934.12</v>
      </c>
      <c r="X24" s="48">
        <f t="shared" si="10"/>
        <v>63956.096399999995</v>
      </c>
      <c r="Y24" s="51">
        <f>X24*assumptions!$C$7</f>
        <v>83142.925319999995</v>
      </c>
      <c r="Z24" s="48">
        <f t="shared" si="11"/>
        <v>1978.0235999999998</v>
      </c>
      <c r="AA24" s="51">
        <f>Z24*assumptions!$C$8</f>
        <v>3560.4424799999997</v>
      </c>
      <c r="AB24" s="70">
        <v>889</v>
      </c>
      <c r="AC24">
        <v>3</v>
      </c>
      <c r="AD24">
        <v>12</v>
      </c>
      <c r="AE24" s="49">
        <v>3.5</v>
      </c>
      <c r="AF24" s="51">
        <v>11550</v>
      </c>
      <c r="AG24" s="51">
        <v>26604</v>
      </c>
      <c r="AH24" s="51">
        <v>88000</v>
      </c>
      <c r="AI24" s="51">
        <v>22000</v>
      </c>
      <c r="AJ24" s="51">
        <v>20625</v>
      </c>
      <c r="AK24" s="51">
        <v>7650</v>
      </c>
      <c r="AL24" s="70">
        <v>18802</v>
      </c>
      <c r="AM24" s="51">
        <f t="shared" si="12"/>
        <v>281934.36780000001</v>
      </c>
      <c r="AN24" s="72">
        <v>226695</v>
      </c>
      <c r="AO24" s="51">
        <v>70000</v>
      </c>
      <c r="AP24" s="51">
        <f t="shared" si="13"/>
        <v>296695</v>
      </c>
    </row>
    <row r="25" spans="1:42" x14ac:dyDescent="0.3">
      <c r="B25" s="23" t="s">
        <v>65</v>
      </c>
      <c r="C25" s="24" t="s">
        <v>62</v>
      </c>
      <c r="D25" s="24" t="s">
        <v>46</v>
      </c>
      <c r="E25" s="25">
        <f>156*2</f>
        <v>312</v>
      </c>
      <c r="F25" s="24">
        <f t="shared" si="5"/>
        <v>156</v>
      </c>
      <c r="G25" s="24">
        <f t="shared" si="6"/>
        <v>312</v>
      </c>
      <c r="H25" s="24">
        <f>_xlfn.XLOOKUP(B25,'[1]Baseline 2025'!$B:$B,'[1]Baseline 2025'!$C:$C)</f>
        <v>8818</v>
      </c>
      <c r="I25" s="24">
        <f t="shared" si="7"/>
        <v>2751216</v>
      </c>
      <c r="J25" s="24" t="str">
        <f>_xlfn.XLOOKUP(B25,'[1]Baseline 2025'!$B:$B,'[1]Baseline 2025'!$E:$E)</f>
        <v>Long Haul</v>
      </c>
      <c r="K25" s="24">
        <f>_xlfn.XLOOKUP(B25,'[1]Baseline 2025'!$B:$B,'[1]Baseline 2025'!$I:$I)/100</f>
        <v>204140.22719999999</v>
      </c>
      <c r="L25" s="24">
        <f t="shared" si="8"/>
        <v>20414022.719999999</v>
      </c>
      <c r="M25" s="24">
        <v>3.84</v>
      </c>
      <c r="N25" s="24">
        <f t="shared" si="9"/>
        <v>78389.847244799981</v>
      </c>
      <c r="O25" s="28">
        <f t="shared" si="0"/>
        <v>1.2E-2</v>
      </c>
      <c r="P25" s="106">
        <f t="shared" si="1"/>
        <v>244.96827263999998</v>
      </c>
      <c r="Q25" s="105">
        <f t="shared" si="2"/>
        <v>1.1999999999999999E-3</v>
      </c>
      <c r="R25" s="106">
        <f t="shared" si="3"/>
        <v>24.496827263999997</v>
      </c>
      <c r="S25">
        <v>300</v>
      </c>
      <c r="T25">
        <f>G25*S25*assumptions!$D$6</f>
        <v>79560</v>
      </c>
      <c r="U25">
        <v>20</v>
      </c>
      <c r="V25" s="57">
        <v>0.46527777777777779</v>
      </c>
      <c r="W25" s="48">
        <v>65429.56</v>
      </c>
      <c r="X25" s="48">
        <f t="shared" si="10"/>
        <v>63466.673199999997</v>
      </c>
      <c r="Y25" s="51">
        <f>X25*assumptions!$C$7</f>
        <v>82506.675159999999</v>
      </c>
      <c r="Z25" s="48">
        <f t="shared" si="11"/>
        <v>1962.8867999999998</v>
      </c>
      <c r="AA25" s="51">
        <f>Z25*assumptions!$C$8</f>
        <v>3533.1962399999998</v>
      </c>
      <c r="AB25" s="70">
        <v>896</v>
      </c>
      <c r="AC25">
        <v>3</v>
      </c>
      <c r="AD25">
        <v>12</v>
      </c>
      <c r="AE25" s="49">
        <v>3.5</v>
      </c>
      <c r="AF25" s="51">
        <v>11718</v>
      </c>
      <c r="AG25" s="51">
        <v>26502</v>
      </c>
      <c r="AH25" s="51">
        <v>89280</v>
      </c>
      <c r="AI25" s="51">
        <v>22320</v>
      </c>
      <c r="AJ25" s="51">
        <v>20925</v>
      </c>
      <c r="AK25" s="51">
        <v>7650</v>
      </c>
      <c r="AL25" s="71">
        <v>18895</v>
      </c>
      <c r="AM25" s="51">
        <f t="shared" si="12"/>
        <v>283329.8714</v>
      </c>
      <c r="AN25" s="72">
        <v>228480</v>
      </c>
      <c r="AO25" s="51">
        <v>70000</v>
      </c>
      <c r="AP25" s="51">
        <f t="shared" si="13"/>
        <v>298480</v>
      </c>
    </row>
    <row r="26" spans="1:42" x14ac:dyDescent="0.3">
      <c r="B26" s="23" t="s">
        <v>66</v>
      </c>
      <c r="C26" s="24" t="s">
        <v>62</v>
      </c>
      <c r="D26" s="24" t="s">
        <v>46</v>
      </c>
      <c r="E26" s="25">
        <f>156*2</f>
        <v>312</v>
      </c>
      <c r="F26" s="24">
        <f t="shared" si="5"/>
        <v>156</v>
      </c>
      <c r="G26" s="24">
        <f t="shared" si="6"/>
        <v>312</v>
      </c>
      <c r="H26" s="24">
        <f>_xlfn.XLOOKUP(B26,'[1]Baseline 2025'!$B:$B,'[1]Baseline 2025'!$C:$C)</f>
        <v>9220</v>
      </c>
      <c r="I26" s="24">
        <f t="shared" si="7"/>
        <v>2876640</v>
      </c>
      <c r="J26" s="24" t="str">
        <f>_xlfn.XLOOKUP(B26,'[1]Baseline 2025'!$B:$B,'[1]Baseline 2025'!$E:$E)</f>
        <v>Long Haul</v>
      </c>
      <c r="K26" s="24">
        <f>_xlfn.XLOOKUP(B26,'[1]Baseline 2025'!$B:$B,'[1]Baseline 2025'!$I:$I)/100</f>
        <v>213446.68799999997</v>
      </c>
      <c r="L26" s="24">
        <f t="shared" si="8"/>
        <v>21344668.799999997</v>
      </c>
      <c r="M26" s="24">
        <v>3.84</v>
      </c>
      <c r="N26" s="24">
        <f t="shared" si="9"/>
        <v>81963.528191999983</v>
      </c>
      <c r="O26" s="28">
        <f t="shared" si="0"/>
        <v>1.2E-2</v>
      </c>
      <c r="P26" s="106">
        <f t="shared" si="1"/>
        <v>256.13602559999998</v>
      </c>
      <c r="Q26" s="105">
        <f t="shared" si="2"/>
        <v>1.1999999999999999E-3</v>
      </c>
      <c r="R26" s="106">
        <f t="shared" si="3"/>
        <v>25.613602559999997</v>
      </c>
      <c r="S26">
        <v>300</v>
      </c>
      <c r="T26">
        <f>G26*S26*assumptions!$D$6</f>
        <v>79560</v>
      </c>
      <c r="U26">
        <v>20</v>
      </c>
      <c r="V26" s="57">
        <v>0.47916666666666669</v>
      </c>
      <c r="W26" s="48">
        <v>68412.399999999994</v>
      </c>
      <c r="X26" s="48">
        <f t="shared" si="10"/>
        <v>66360.027999999991</v>
      </c>
      <c r="Y26" s="51">
        <f>X26*assumptions!$C$7</f>
        <v>86268.036399999997</v>
      </c>
      <c r="Z26" s="48">
        <f t="shared" si="11"/>
        <v>2052.3719999999998</v>
      </c>
      <c r="AA26" s="51">
        <f>Z26*assumptions!$C$8</f>
        <v>3694.2695999999996</v>
      </c>
      <c r="AB26" s="70">
        <v>935</v>
      </c>
      <c r="AC26">
        <v>3</v>
      </c>
      <c r="AD26">
        <v>12</v>
      </c>
      <c r="AE26" s="49">
        <v>3.5</v>
      </c>
      <c r="AF26" s="51">
        <v>12075</v>
      </c>
      <c r="AG26" s="51">
        <v>27105</v>
      </c>
      <c r="AH26" s="51">
        <v>92000</v>
      </c>
      <c r="AI26" s="51">
        <v>23000</v>
      </c>
      <c r="AJ26" s="51">
        <v>21563</v>
      </c>
      <c r="AK26" s="51">
        <v>7650</v>
      </c>
      <c r="AL26" s="71">
        <v>19533</v>
      </c>
      <c r="AM26" s="51">
        <f t="shared" si="12"/>
        <v>292888.30599999998</v>
      </c>
      <c r="AN26" s="72">
        <v>238425</v>
      </c>
      <c r="AO26" s="51">
        <v>70000</v>
      </c>
      <c r="AP26" s="51">
        <f t="shared" si="13"/>
        <v>308425</v>
      </c>
    </row>
    <row r="27" spans="1:42" x14ac:dyDescent="0.3">
      <c r="B27" s="23" t="s">
        <v>67</v>
      </c>
      <c r="C27" s="24" t="s">
        <v>62</v>
      </c>
      <c r="D27" s="24" t="s">
        <v>46</v>
      </c>
      <c r="E27" s="25">
        <f>52*2</f>
        <v>104</v>
      </c>
      <c r="F27" s="24">
        <f t="shared" si="5"/>
        <v>52</v>
      </c>
      <c r="G27" s="24">
        <f t="shared" si="6"/>
        <v>104</v>
      </c>
      <c r="H27" s="24">
        <f>_xlfn.XLOOKUP(B27,'[1]Baseline 2025'!$B:$B,'[1]Baseline 2025'!$C:$C)</f>
        <v>9536</v>
      </c>
      <c r="I27" s="24">
        <f t="shared" si="7"/>
        <v>991744</v>
      </c>
      <c r="J27" s="24" t="str">
        <f>_xlfn.XLOOKUP(B27,'[1]Baseline 2025'!$B:$B,'[1]Baseline 2025'!$E:$E)</f>
        <v>Long Haul</v>
      </c>
      <c r="K27" s="24">
        <f>_xlfn.XLOOKUP(B27,'[1]Baseline 2025'!$B:$B,'[1]Baseline 2025'!$I:$I)/100</f>
        <v>73587.404799999989</v>
      </c>
      <c r="L27" s="24">
        <f t="shared" si="8"/>
        <v>7358740.4799999986</v>
      </c>
      <c r="M27" s="24">
        <v>3.84</v>
      </c>
      <c r="N27" s="24">
        <f t="shared" si="9"/>
        <v>28257.563443199993</v>
      </c>
      <c r="O27" s="28">
        <f t="shared" si="0"/>
        <v>1.2E-2</v>
      </c>
      <c r="P27" s="106">
        <f t="shared" si="1"/>
        <v>88.304885759999991</v>
      </c>
      <c r="Q27" s="105">
        <f t="shared" si="2"/>
        <v>1.1999999999999999E-3</v>
      </c>
      <c r="R27" s="106">
        <f t="shared" si="3"/>
        <v>8.8304885759999987</v>
      </c>
      <c r="S27">
        <v>300</v>
      </c>
      <c r="T27">
        <f>G27*S27*assumptions!$D$6</f>
        <v>26520</v>
      </c>
      <c r="U27">
        <v>20</v>
      </c>
      <c r="V27" s="57">
        <v>0.5</v>
      </c>
      <c r="W27" s="48">
        <v>70757.119999999995</v>
      </c>
      <c r="X27" s="48">
        <f t="shared" si="10"/>
        <v>68634.406399999993</v>
      </c>
      <c r="Y27" s="51">
        <f>X27*assumptions!$C$7</f>
        <v>89224.728319999995</v>
      </c>
      <c r="Z27" s="48">
        <f t="shared" si="11"/>
        <v>2122.7135999999996</v>
      </c>
      <c r="AA27" s="51">
        <f>Z27*assumptions!$C$8</f>
        <v>3820.8844799999993</v>
      </c>
      <c r="AB27" s="70">
        <v>979</v>
      </c>
      <c r="AC27">
        <v>3</v>
      </c>
      <c r="AD27">
        <v>12</v>
      </c>
      <c r="AE27" s="49">
        <v>3.5</v>
      </c>
      <c r="AF27" s="51">
        <v>12600</v>
      </c>
      <c r="AG27" s="51">
        <v>27579</v>
      </c>
      <c r="AH27" s="51">
        <v>96000</v>
      </c>
      <c r="AI27" s="51">
        <v>24000</v>
      </c>
      <c r="AJ27" s="51">
        <v>22500</v>
      </c>
      <c r="AK27" s="51">
        <v>7650</v>
      </c>
      <c r="AL27" s="71">
        <v>20249</v>
      </c>
      <c r="AM27" s="51">
        <f t="shared" si="12"/>
        <v>303623.6128</v>
      </c>
      <c r="AN27" s="72">
        <v>249645</v>
      </c>
      <c r="AO27" s="51">
        <v>70000</v>
      </c>
      <c r="AP27" s="51">
        <f t="shared" si="13"/>
        <v>319645</v>
      </c>
    </row>
    <row r="28" spans="1:42" x14ac:dyDescent="0.3">
      <c r="B28" s="23" t="s">
        <v>68</v>
      </c>
      <c r="C28" s="24" t="s">
        <v>62</v>
      </c>
      <c r="D28" s="24" t="s">
        <v>46</v>
      </c>
      <c r="E28" s="25">
        <f>156*2</f>
        <v>312</v>
      </c>
      <c r="F28" s="24">
        <f t="shared" si="5"/>
        <v>156</v>
      </c>
      <c r="G28" s="24">
        <f t="shared" si="6"/>
        <v>312</v>
      </c>
      <c r="H28" s="24">
        <f>_xlfn.XLOOKUP(B28,'[1]Baseline 2025'!$B:$B,'[1]Baseline 2025'!$C:$C)</f>
        <v>9652</v>
      </c>
      <c r="I28" s="24">
        <f t="shared" si="7"/>
        <v>3011424</v>
      </c>
      <c r="J28" s="24" t="str">
        <f>_xlfn.XLOOKUP(B28,'[1]Baseline 2025'!$B:$B,'[1]Baseline 2025'!$E:$E)</f>
        <v>Long Haul</v>
      </c>
      <c r="K28" s="24">
        <f>_xlfn.XLOOKUP(B28,'[1]Baseline 2025'!$B:$B,'[1]Baseline 2025'!$I:$I)/100</f>
        <v>223447.66079999998</v>
      </c>
      <c r="L28" s="24">
        <f t="shared" si="8"/>
        <v>22344766.079999998</v>
      </c>
      <c r="M28" s="24">
        <v>3.84</v>
      </c>
      <c r="N28" s="24">
        <f t="shared" si="9"/>
        <v>85803.901747199998</v>
      </c>
      <c r="O28" s="28">
        <f t="shared" si="0"/>
        <v>1.2E-2</v>
      </c>
      <c r="P28" s="106">
        <f t="shared" si="1"/>
        <v>268.13719295999994</v>
      </c>
      <c r="Q28" s="105">
        <f t="shared" si="2"/>
        <v>1.1999999999999999E-3</v>
      </c>
      <c r="R28" s="106">
        <f t="shared" si="3"/>
        <v>26.813719295999995</v>
      </c>
      <c r="S28">
        <v>300</v>
      </c>
      <c r="T28">
        <f>G28*S28*assumptions!$D$6</f>
        <v>79560</v>
      </c>
      <c r="U28">
        <v>20</v>
      </c>
      <c r="V28" s="57">
        <v>0.47222222222222221</v>
      </c>
      <c r="W28" s="48">
        <v>71617.84</v>
      </c>
      <c r="X28" s="48">
        <f>W28*0.97</f>
        <v>69469.304799999998</v>
      </c>
      <c r="Y28" s="51">
        <f>X28*assumptions!$C$7</f>
        <v>90310.096239999999</v>
      </c>
      <c r="Z28" s="48">
        <f>W28*0.03</f>
        <v>2148.5351999999998</v>
      </c>
      <c r="AA28" s="51">
        <f>Z28*assumptions!$C$8</f>
        <v>3867.3633599999998</v>
      </c>
      <c r="AB28" s="70">
        <v>946</v>
      </c>
      <c r="AC28">
        <v>3</v>
      </c>
      <c r="AD28">
        <v>12</v>
      </c>
      <c r="AE28" s="49">
        <v>3.5</v>
      </c>
      <c r="AF28" s="51">
        <v>11896.5</v>
      </c>
      <c r="AG28" s="51">
        <v>27753</v>
      </c>
      <c r="AH28" s="51">
        <v>90640</v>
      </c>
      <c r="AI28" s="51">
        <v>22660</v>
      </c>
      <c r="AJ28" s="51">
        <v>21244</v>
      </c>
      <c r="AK28" s="51">
        <v>7650</v>
      </c>
      <c r="AL28" s="71">
        <v>19723</v>
      </c>
      <c r="AM28" s="51">
        <f>Y28+AF28+AG28+AH28+AI28+AJ28+AK28+AL28+AA28</f>
        <v>295743.9596</v>
      </c>
      <c r="AN28" s="59">
        <v>241230</v>
      </c>
      <c r="AO28" s="51">
        <v>70000</v>
      </c>
      <c r="AP28" s="51">
        <f t="shared" si="13"/>
        <v>311230</v>
      </c>
    </row>
    <row r="29" spans="1:42" x14ac:dyDescent="0.3">
      <c r="N29" s="26">
        <f>SUM(N7:N28)</f>
        <v>631234.42636799999</v>
      </c>
      <c r="O29" s="26"/>
      <c r="P29" s="108">
        <f>SUM(P7:P28)</f>
        <v>1972.6075824</v>
      </c>
      <c r="Q29" s="108"/>
      <c r="R29" s="108">
        <f>SUM(R7:R28)</f>
        <v>197.26075823999997</v>
      </c>
    </row>
    <row r="31" spans="1:42" x14ac:dyDescent="0.3">
      <c r="A31" t="s">
        <v>69</v>
      </c>
      <c r="D31" t="s">
        <v>70</v>
      </c>
      <c r="F31" t="s">
        <v>71</v>
      </c>
      <c r="Z31" s="20"/>
    </row>
    <row r="32" spans="1:42" x14ac:dyDescent="0.3">
      <c r="A32">
        <f>(E7*W7)/1000</f>
        <v>4309.5488800000003</v>
      </c>
      <c r="D32" s="51">
        <f>E7*AM7</f>
        <v>36466188.777200006</v>
      </c>
      <c r="F32" s="51">
        <f>E7*AP7</f>
        <v>38416560</v>
      </c>
    </row>
    <row r="33" spans="1:6" x14ac:dyDescent="0.3">
      <c r="A33">
        <f t="shared" ref="A33:A53" si="15">(E8*W8)/1000</f>
        <v>3085.8828000000003</v>
      </c>
      <c r="D33" s="51">
        <f t="shared" ref="D33:D53" si="16">E8*AM8</f>
        <v>28417543.882000003</v>
      </c>
      <c r="F33" s="51">
        <f t="shared" ref="F33:F53" si="17">E8*AP8</f>
        <v>29931720</v>
      </c>
    </row>
    <row r="34" spans="1:6" x14ac:dyDescent="0.3">
      <c r="A34">
        <f t="shared" si="15"/>
        <v>3315.65416</v>
      </c>
      <c r="D34" s="51">
        <f t="shared" si="16"/>
        <v>31692481.220399994</v>
      </c>
      <c r="F34" s="51">
        <f t="shared" si="17"/>
        <v>33342400</v>
      </c>
    </row>
    <row r="35" spans="1:6" x14ac:dyDescent="0.3">
      <c r="A35">
        <f t="shared" si="15"/>
        <v>422.13808</v>
      </c>
      <c r="D35" s="51">
        <f t="shared" si="16"/>
        <v>11979626.495200001</v>
      </c>
      <c r="F35" s="51">
        <f t="shared" si="17"/>
        <v>30093700</v>
      </c>
    </row>
    <row r="36" spans="1:6" x14ac:dyDescent="0.3">
      <c r="A36">
        <f t="shared" si="15"/>
        <v>1498.85736</v>
      </c>
      <c r="D36" s="51">
        <f t="shared" si="16"/>
        <v>19698889.428399999</v>
      </c>
      <c r="F36" s="51">
        <f t="shared" si="17"/>
        <v>30557800</v>
      </c>
    </row>
    <row r="37" spans="1:6" x14ac:dyDescent="0.3">
      <c r="A37">
        <f t="shared" si="15"/>
        <v>533.01612</v>
      </c>
      <c r="D37" s="51">
        <f t="shared" si="16"/>
        <v>9478594.1978000011</v>
      </c>
      <c r="F37" s="51">
        <f t="shared" si="17"/>
        <v>14814800</v>
      </c>
    </row>
    <row r="38" spans="1:6" x14ac:dyDescent="0.3">
      <c r="A38">
        <f t="shared" si="15"/>
        <v>1005.9176399999999</v>
      </c>
      <c r="D38" s="51">
        <f t="shared" si="16"/>
        <v>11792513.696600001</v>
      </c>
      <c r="F38" s="51">
        <f t="shared" si="17"/>
        <v>16207100</v>
      </c>
    </row>
    <row r="39" spans="1:6" x14ac:dyDescent="0.3">
      <c r="A39">
        <f t="shared" si="15"/>
        <v>2631.6836000000003</v>
      </c>
      <c r="D39" s="51">
        <f t="shared" si="16"/>
        <v>20538815.933999997</v>
      </c>
      <c r="F39" s="51">
        <f t="shared" si="17"/>
        <v>21621600</v>
      </c>
    </row>
    <row r="40" spans="1:6" x14ac:dyDescent="0.3">
      <c r="A40">
        <f t="shared" si="15"/>
        <v>2468.70624</v>
      </c>
      <c r="D40" s="51">
        <f t="shared" si="16"/>
        <v>20957866.165600002</v>
      </c>
      <c r="F40" s="51">
        <f t="shared" si="17"/>
        <v>22054760</v>
      </c>
    </row>
    <row r="41" spans="1:6" x14ac:dyDescent="0.3">
      <c r="A41">
        <f t="shared" si="15"/>
        <v>888.36019999999996</v>
      </c>
      <c r="D41" s="51">
        <f t="shared" si="16"/>
        <v>10494965.663000001</v>
      </c>
      <c r="F41" s="51">
        <f t="shared" si="17"/>
        <v>15394925</v>
      </c>
    </row>
    <row r="42" spans="1:6" x14ac:dyDescent="0.3">
      <c r="A42">
        <f t="shared" si="15"/>
        <v>1283.7806799999998</v>
      </c>
      <c r="D42" s="51">
        <f t="shared" si="16"/>
        <v>12650577.594199998</v>
      </c>
      <c r="F42" s="51">
        <f t="shared" si="17"/>
        <v>15510950</v>
      </c>
    </row>
    <row r="43" spans="1:6" x14ac:dyDescent="0.3">
      <c r="A43">
        <f t="shared" si="15"/>
        <v>1904.9648800000002</v>
      </c>
      <c r="D43" s="51">
        <f t="shared" si="16"/>
        <v>16691564.817199998</v>
      </c>
      <c r="F43" s="51">
        <f t="shared" si="17"/>
        <v>17831450</v>
      </c>
    </row>
    <row r="44" spans="1:6" x14ac:dyDescent="0.3">
      <c r="A44">
        <f t="shared" si="15"/>
        <v>1285.1165600000002</v>
      </c>
      <c r="D44" s="51">
        <f t="shared" si="16"/>
        <v>12652698.2764</v>
      </c>
      <c r="F44" s="51">
        <f t="shared" si="17"/>
        <v>15766205</v>
      </c>
    </row>
    <row r="45" spans="1:6" x14ac:dyDescent="0.3">
      <c r="A45">
        <f t="shared" si="15"/>
        <v>1476.1473999999998</v>
      </c>
      <c r="D45" s="51">
        <f t="shared" si="16"/>
        <v>13725821.290999999</v>
      </c>
      <c r="F45" s="51">
        <f t="shared" si="17"/>
        <v>15928640</v>
      </c>
    </row>
    <row r="46" spans="1:6" x14ac:dyDescent="0.3">
      <c r="A46">
        <f t="shared" si="15"/>
        <v>3222.1425599999998</v>
      </c>
      <c r="D46" s="51">
        <f t="shared" si="16"/>
        <v>41309083.306400001</v>
      </c>
      <c r="F46" s="51">
        <f t="shared" si="17"/>
        <v>61579700</v>
      </c>
    </row>
    <row r="47" spans="1:6" x14ac:dyDescent="0.3">
      <c r="A47">
        <f t="shared" si="15"/>
        <v>21337.723679999999</v>
      </c>
      <c r="D47" s="51">
        <f t="shared" si="16"/>
        <v>90289846.639200002</v>
      </c>
      <c r="F47" s="51">
        <f t="shared" si="17"/>
        <v>95035200</v>
      </c>
    </row>
    <row r="48" spans="1:6" x14ac:dyDescent="0.3">
      <c r="A48">
        <f t="shared" si="15"/>
        <v>21495.146399999998</v>
      </c>
      <c r="D48" s="51">
        <f t="shared" si="16"/>
        <v>90545529.516000003</v>
      </c>
      <c r="F48" s="51">
        <f t="shared" si="17"/>
        <v>95353440</v>
      </c>
    </row>
    <row r="49" spans="1:6" x14ac:dyDescent="0.3">
      <c r="A49">
        <f t="shared" si="15"/>
        <v>6857.1484799999998</v>
      </c>
      <c r="D49" s="51">
        <f t="shared" si="16"/>
        <v>29321174.251200002</v>
      </c>
      <c r="F49" s="51">
        <f t="shared" si="17"/>
        <v>30856280</v>
      </c>
    </row>
    <row r="50" spans="1:6" x14ac:dyDescent="0.3">
      <c r="A50">
        <f t="shared" si="15"/>
        <v>20414.022719999997</v>
      </c>
      <c r="D50" s="51">
        <f t="shared" si="16"/>
        <v>88398919.876800001</v>
      </c>
      <c r="F50" s="51">
        <f t="shared" si="17"/>
        <v>93125760</v>
      </c>
    </row>
    <row r="51" spans="1:6" x14ac:dyDescent="0.3">
      <c r="A51">
        <f t="shared" si="15"/>
        <v>21344.668799999996</v>
      </c>
      <c r="D51" s="51">
        <f t="shared" si="16"/>
        <v>91381151.471999988</v>
      </c>
      <c r="F51" s="51">
        <f t="shared" si="17"/>
        <v>96228600</v>
      </c>
    </row>
    <row r="52" spans="1:6" x14ac:dyDescent="0.3">
      <c r="A52">
        <f t="shared" si="15"/>
        <v>7358.7404799999995</v>
      </c>
      <c r="D52" s="51">
        <f t="shared" si="16"/>
        <v>31576855.731200002</v>
      </c>
      <c r="F52" s="51">
        <f t="shared" si="17"/>
        <v>33243080</v>
      </c>
    </row>
    <row r="53" spans="1:6" x14ac:dyDescent="0.3">
      <c r="A53">
        <f t="shared" si="15"/>
        <v>22344.766079999998</v>
      </c>
      <c r="D53" s="51">
        <f t="shared" si="16"/>
        <v>92272115.395199999</v>
      </c>
      <c r="F53" s="51">
        <f t="shared" si="17"/>
        <v>97103760</v>
      </c>
    </row>
    <row r="55" spans="1:6" x14ac:dyDescent="0.3">
      <c r="A55" t="s">
        <v>72</v>
      </c>
      <c r="D55" t="s">
        <v>72</v>
      </c>
      <c r="F55" t="s">
        <v>72</v>
      </c>
    </row>
    <row r="56" spans="1:6" x14ac:dyDescent="0.3">
      <c r="A56">
        <f>SUM(A32:A53)</f>
        <v>150484.13379999998</v>
      </c>
      <c r="D56" s="51">
        <f>SUM(D32:D53)</f>
        <v>812332823.62699997</v>
      </c>
      <c r="F56" s="51">
        <f>SUM(F32:F53)</f>
        <v>919998430</v>
      </c>
    </row>
  </sheetData>
  <mergeCells count="1">
    <mergeCell ref="A4:N4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D609-7BEA-4937-9C84-FD6D8C6D19A8}">
  <sheetPr>
    <tabColor theme="9"/>
  </sheetPr>
  <dimension ref="A4:AX56"/>
  <sheetViews>
    <sheetView topLeftCell="D6" zoomScale="68" zoomScaleNormal="80" workbookViewId="0">
      <selection activeCell="R7" sqref="R7"/>
    </sheetView>
  </sheetViews>
  <sheetFormatPr defaultRowHeight="14.4" x14ac:dyDescent="0.3"/>
  <cols>
    <col min="12" max="12" width="11" bestFit="1" customWidth="1"/>
    <col min="13" max="14" width="9" bestFit="1" customWidth="1"/>
    <col min="15" max="18" width="9" customWidth="1"/>
    <col min="19" max="19" width="9" bestFit="1" customWidth="1"/>
    <col min="20" max="20" width="9" customWidth="1"/>
    <col min="21" max="22" width="9" bestFit="1" customWidth="1"/>
    <col min="23" max="23" width="10.5546875" customWidth="1"/>
    <col min="24" max="24" width="15.109375" bestFit="1" customWidth="1"/>
    <col min="25" max="26" width="15.109375" customWidth="1"/>
    <col min="27" max="27" width="10.44140625" bestFit="1" customWidth="1"/>
    <col min="28" max="28" width="15.109375" style="65" customWidth="1"/>
    <col min="29" max="30" width="12.5546875" bestFit="1" customWidth="1"/>
    <col min="31" max="31" width="9" bestFit="1" customWidth="1"/>
    <col min="32" max="32" width="10.109375" bestFit="1" customWidth="1"/>
    <col min="33" max="34" width="14.109375" bestFit="1" customWidth="1"/>
    <col min="35" max="35" width="15.109375" bestFit="1" customWidth="1"/>
    <col min="36" max="36" width="14.109375" bestFit="1" customWidth="1"/>
    <col min="37" max="37" width="11.44140625" bestFit="1" customWidth="1"/>
    <col min="38" max="38" width="14.109375" bestFit="1" customWidth="1"/>
    <col min="39" max="39" width="15.5546875" customWidth="1"/>
    <col min="40" max="40" width="12.5546875" bestFit="1" customWidth="1"/>
    <col min="41" max="41" width="10.5546875" bestFit="1" customWidth="1"/>
    <col min="42" max="42" width="14.44140625" bestFit="1" customWidth="1"/>
    <col min="43" max="43" width="9.88671875" bestFit="1" customWidth="1"/>
  </cols>
  <sheetData>
    <row r="4" spans="1:50" ht="25.8" x14ac:dyDescent="0.5">
      <c r="A4" s="110" t="s">
        <v>0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00"/>
      <c r="P4" s="100"/>
      <c r="Q4" s="100"/>
      <c r="R4" s="100"/>
      <c r="S4" s="55"/>
      <c r="T4" s="55"/>
      <c r="U4" s="55"/>
      <c r="V4" s="55"/>
      <c r="W4" s="55"/>
      <c r="X4" s="55"/>
      <c r="Y4" s="55"/>
      <c r="Z4" s="55"/>
      <c r="AB4" s="67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</row>
    <row r="5" spans="1:50" ht="25.8" x14ac:dyDescent="0.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44"/>
      <c r="T5" s="44"/>
      <c r="U5" s="44"/>
      <c r="V5" s="44"/>
      <c r="W5" s="44"/>
      <c r="X5" s="44"/>
      <c r="Y5" s="44"/>
      <c r="Z5" s="44"/>
      <c r="AB5" s="68"/>
      <c r="AC5" s="38" t="s">
        <v>1</v>
      </c>
      <c r="AD5" s="22"/>
      <c r="AE5" s="45"/>
      <c r="AF5" s="45"/>
      <c r="AG5" s="36"/>
      <c r="AH5" s="36"/>
      <c r="AI5" s="36"/>
      <c r="AJ5" s="37" t="s">
        <v>2</v>
      </c>
      <c r="AK5" s="36"/>
      <c r="AL5" s="36"/>
      <c r="AM5" s="36"/>
      <c r="AN5" s="36"/>
      <c r="AO5" s="39"/>
      <c r="AP5" s="40" t="s">
        <v>3</v>
      </c>
      <c r="AQ5" s="39"/>
    </row>
    <row r="6" spans="1:50" ht="169.8" x14ac:dyDescent="0.3">
      <c r="B6" s="21" t="s">
        <v>4</v>
      </c>
      <c r="C6" s="21" t="s">
        <v>5</v>
      </c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1" t="s">
        <v>18</v>
      </c>
      <c r="Q6" s="21" t="s">
        <v>19</v>
      </c>
      <c r="R6" s="21" t="s">
        <v>20</v>
      </c>
      <c r="S6" s="30" t="s">
        <v>21</v>
      </c>
      <c r="T6" s="30" t="s">
        <v>22</v>
      </c>
      <c r="U6" s="30" t="s">
        <v>23</v>
      </c>
      <c r="V6" s="30" t="s">
        <v>24</v>
      </c>
      <c r="W6" s="30" t="s">
        <v>25</v>
      </c>
      <c r="X6" s="30" t="s">
        <v>26</v>
      </c>
      <c r="Y6" s="30" t="s">
        <v>27</v>
      </c>
      <c r="Z6" s="30" t="s">
        <v>28</v>
      </c>
      <c r="AA6" s="30" t="s">
        <v>29</v>
      </c>
      <c r="AB6" s="69" t="s">
        <v>30</v>
      </c>
      <c r="AC6" s="32" t="s">
        <v>31</v>
      </c>
      <c r="AD6" s="32" t="s">
        <v>32</v>
      </c>
      <c r="AE6" s="33" t="s">
        <v>33</v>
      </c>
      <c r="AF6" s="33" t="s">
        <v>73</v>
      </c>
      <c r="AG6" s="31" t="s">
        <v>1</v>
      </c>
      <c r="AH6" s="31" t="s">
        <v>34</v>
      </c>
      <c r="AI6" s="31" t="s">
        <v>35</v>
      </c>
      <c r="AJ6" s="31" t="s">
        <v>36</v>
      </c>
      <c r="AK6" s="31" t="s">
        <v>37</v>
      </c>
      <c r="AL6" s="31" t="s">
        <v>38</v>
      </c>
      <c r="AM6" s="31" t="s">
        <v>39</v>
      </c>
      <c r="AN6" s="31" t="s">
        <v>40</v>
      </c>
      <c r="AO6" s="31" t="s">
        <v>41</v>
      </c>
      <c r="AP6" s="31" t="s">
        <v>42</v>
      </c>
      <c r="AQ6" s="31" t="s">
        <v>43</v>
      </c>
    </row>
    <row r="7" spans="1:50" x14ac:dyDescent="0.3">
      <c r="B7" s="27" t="s">
        <v>44</v>
      </c>
      <c r="C7" s="28" t="s">
        <v>45</v>
      </c>
      <c r="D7" s="28" t="s">
        <v>46</v>
      </c>
      <c r="E7" s="29">
        <f>7*52*2</f>
        <v>728</v>
      </c>
      <c r="F7" s="28">
        <f t="shared" ref="F7:F28" si="0">E7/2</f>
        <v>364</v>
      </c>
      <c r="G7" s="28">
        <f t="shared" ref="G7:G28" si="1">E7</f>
        <v>728</v>
      </c>
      <c r="H7" s="28">
        <f>_xlfn.XLOOKUP(B7,'[1]Baseline 2025'!$B:$B,'[1]Baseline 2025'!$C:$C)</f>
        <v>1613</v>
      </c>
      <c r="I7" s="28">
        <f t="shared" ref="I7:I28" si="2">E7*H7</f>
        <v>1174264</v>
      </c>
      <c r="J7" s="28" t="str">
        <f>_xlfn.XLOOKUP(B7,'[1]Baseline 2025'!$B:$B,'[1]Baseline 2025'!$E:$E)</f>
        <v>Short Haul</v>
      </c>
      <c r="K7" s="28">
        <f>_xlfn.XLOOKUP(B7,'[1]Baseline 2025'!$B:$B,'[1]Baseline 2025'!$I:$I)/100</f>
        <v>43095.488799999999</v>
      </c>
      <c r="L7" s="28">
        <f t="shared" ref="L7:L28" si="3">K7*100</f>
        <v>4309548.88</v>
      </c>
      <c r="M7" s="28">
        <v>3.84</v>
      </c>
      <c r="N7" s="28">
        <f t="shared" ref="N7:N28" si="4">(L7*M7)/1000</f>
        <v>16548.667699199999</v>
      </c>
      <c r="O7" s="28">
        <f t="shared" ref="O7:O28" si="5">12/1000</f>
        <v>1.2E-2</v>
      </c>
      <c r="P7" s="106">
        <f t="shared" ref="P7:P28" si="6">(O7*L7)/1000</f>
        <v>51.714586559999994</v>
      </c>
      <c r="Q7" s="105">
        <f t="shared" ref="Q7:Q28" si="7">1.2/1000</f>
        <v>1.1999999999999999E-3</v>
      </c>
      <c r="R7" s="106">
        <f t="shared" ref="R7:R28" si="8">Q7*L7/1000</f>
        <v>5.1714586559999995</v>
      </c>
      <c r="S7">
        <v>100</v>
      </c>
      <c r="T7">
        <f>G7*S7*assumptions!$D$6</f>
        <v>61880</v>
      </c>
      <c r="U7">
        <v>10.9</v>
      </c>
      <c r="V7" s="57">
        <v>0.1111111111111111</v>
      </c>
      <c r="W7" s="48">
        <v>5919.71</v>
      </c>
      <c r="X7" s="48">
        <f t="shared" ref="X7:X28" si="9">W7*0.97</f>
        <v>5742.1187</v>
      </c>
      <c r="Y7" s="51">
        <f>X7*assumptions!$C$7</f>
        <v>7464.7543100000003</v>
      </c>
      <c r="Z7" s="6">
        <f t="shared" ref="Z7:Z28" si="10">W7*0.03</f>
        <v>177.59129999999999</v>
      </c>
      <c r="AA7" s="102">
        <f>Z7*assumptions!$D$8</f>
        <v>230.86868999999999</v>
      </c>
      <c r="AB7" s="70">
        <v>172</v>
      </c>
      <c r="AC7">
        <v>2</v>
      </c>
      <c r="AD7">
        <v>3</v>
      </c>
      <c r="AE7" s="49">
        <v>3.5</v>
      </c>
      <c r="AF7" s="51">
        <v>9071</v>
      </c>
      <c r="AG7" s="51">
        <v>1197</v>
      </c>
      <c r="AH7" s="51">
        <v>6845</v>
      </c>
      <c r="AI7" s="51">
        <v>21280</v>
      </c>
      <c r="AJ7" s="51">
        <v>5320</v>
      </c>
      <c r="AK7" s="51">
        <v>1663</v>
      </c>
      <c r="AL7" s="51">
        <v>2550</v>
      </c>
      <c r="AM7" s="59">
        <v>3333</v>
      </c>
      <c r="AN7" s="51">
        <f t="shared" ref="AN7:AN28" si="11">Y7+AG7+AH7+AI7+AJ7+AK7+AL7+AM7+AA7+AF7</f>
        <v>58954.623000000007</v>
      </c>
      <c r="AO7" s="72">
        <v>14620</v>
      </c>
      <c r="AP7" s="51">
        <v>38150</v>
      </c>
      <c r="AQ7" s="51">
        <f t="shared" ref="AQ7:AQ28" si="12">AO7+AP7</f>
        <v>52770</v>
      </c>
    </row>
    <row r="8" spans="1:50" x14ac:dyDescent="0.3">
      <c r="B8" s="27" t="s">
        <v>47</v>
      </c>
      <c r="C8" s="28" t="s">
        <v>45</v>
      </c>
      <c r="D8" s="28" t="s">
        <v>46</v>
      </c>
      <c r="E8" s="29">
        <f>7*52*2</f>
        <v>728</v>
      </c>
      <c r="F8" s="28">
        <f t="shared" si="0"/>
        <v>364</v>
      </c>
      <c r="G8" s="28">
        <f t="shared" si="1"/>
        <v>728</v>
      </c>
      <c r="H8" s="28">
        <f>_xlfn.XLOOKUP(B8,'[1]Baseline 2025'!$B:$B,'[1]Baseline 2025'!$C:$C)</f>
        <v>1155</v>
      </c>
      <c r="I8" s="28">
        <f t="shared" si="2"/>
        <v>840840</v>
      </c>
      <c r="J8" s="28" t="str">
        <f>_xlfn.XLOOKUP(B8,'[1]Baseline 2025'!$B:$B,'[1]Baseline 2025'!$E:$E)</f>
        <v>Short Haul</v>
      </c>
      <c r="K8" s="28">
        <f>_xlfn.XLOOKUP(B8,'[1]Baseline 2025'!$B:$B,'[1]Baseline 2025'!$I:$I)/100</f>
        <v>30858.828000000001</v>
      </c>
      <c r="L8" s="28">
        <f t="shared" si="3"/>
        <v>3085882.8000000003</v>
      </c>
      <c r="M8" s="28">
        <v>3.84</v>
      </c>
      <c r="N8" s="28">
        <f t="shared" si="4"/>
        <v>11849.789952000001</v>
      </c>
      <c r="O8" s="28">
        <f t="shared" si="5"/>
        <v>1.2E-2</v>
      </c>
      <c r="P8" s="106">
        <f t="shared" si="6"/>
        <v>37.03059360000001</v>
      </c>
      <c r="Q8" s="105">
        <f t="shared" si="7"/>
        <v>1.1999999999999999E-3</v>
      </c>
      <c r="R8" s="106">
        <f t="shared" si="8"/>
        <v>3.7030593600000001</v>
      </c>
      <c r="S8">
        <v>100</v>
      </c>
      <c r="T8">
        <f>G8*S8*assumptions!$D$6</f>
        <v>61880</v>
      </c>
      <c r="U8">
        <v>10.9</v>
      </c>
      <c r="V8" s="57">
        <v>8.3333333333333329E-2</v>
      </c>
      <c r="W8" s="48">
        <v>4238.8500000000004</v>
      </c>
      <c r="X8" s="48">
        <f t="shared" si="9"/>
        <v>4111.6845000000003</v>
      </c>
      <c r="Y8" s="51">
        <f>X8*assumptions!$C$7</f>
        <v>5345.1898500000007</v>
      </c>
      <c r="Z8" s="48">
        <f t="shared" si="10"/>
        <v>127.16550000000001</v>
      </c>
      <c r="AA8" s="102">
        <f>Z8*assumptions!$D$8</f>
        <v>165.31515000000002</v>
      </c>
      <c r="AB8" s="70">
        <v>99</v>
      </c>
      <c r="AC8">
        <v>2</v>
      </c>
      <c r="AD8">
        <v>3</v>
      </c>
      <c r="AE8" s="49">
        <v>3</v>
      </c>
      <c r="AF8" s="51">
        <v>6496</v>
      </c>
      <c r="AG8" s="51">
        <v>900</v>
      </c>
      <c r="AH8" s="51">
        <v>6158</v>
      </c>
      <c r="AI8" s="51">
        <v>16000</v>
      </c>
      <c r="AJ8" s="51">
        <v>4000</v>
      </c>
      <c r="AK8" s="51">
        <v>1250</v>
      </c>
      <c r="AL8" s="51">
        <v>2550</v>
      </c>
      <c r="AM8" s="59">
        <v>2603</v>
      </c>
      <c r="AN8" s="51">
        <f t="shared" si="11"/>
        <v>45467.505000000005</v>
      </c>
      <c r="AO8" s="72">
        <v>8415</v>
      </c>
      <c r="AP8" s="51">
        <v>32700</v>
      </c>
      <c r="AQ8" s="51">
        <f t="shared" si="12"/>
        <v>41115</v>
      </c>
    </row>
    <row r="9" spans="1:50" x14ac:dyDescent="0.3">
      <c r="B9" s="27" t="s">
        <v>48</v>
      </c>
      <c r="C9" s="28" t="s">
        <v>45</v>
      </c>
      <c r="D9" s="28" t="s">
        <v>46</v>
      </c>
      <c r="E9" s="29">
        <f>7*52*2</f>
        <v>728</v>
      </c>
      <c r="F9" s="28">
        <f t="shared" si="0"/>
        <v>364</v>
      </c>
      <c r="G9" s="28">
        <f t="shared" si="1"/>
        <v>728</v>
      </c>
      <c r="H9" s="28">
        <f>_xlfn.XLOOKUP(B9,'[1]Baseline 2025'!$B:$B,'[1]Baseline 2025'!$C:$C)</f>
        <v>1241</v>
      </c>
      <c r="I9" s="28">
        <f t="shared" si="2"/>
        <v>903448</v>
      </c>
      <c r="J9" s="28" t="str">
        <f>_xlfn.XLOOKUP(B9,'[1]Baseline 2025'!$B:$B,'[1]Baseline 2025'!$E:$E)</f>
        <v>Short Haul</v>
      </c>
      <c r="K9" s="28">
        <f>_xlfn.XLOOKUP(B9,'[1]Baseline 2025'!$B:$B,'[1]Baseline 2025'!$I:$I)/100</f>
        <v>33156.541600000004</v>
      </c>
      <c r="L9" s="28">
        <f t="shared" si="3"/>
        <v>3315654.1600000006</v>
      </c>
      <c r="M9" s="28">
        <v>3.84</v>
      </c>
      <c r="N9" s="28">
        <f t="shared" si="4"/>
        <v>12732.111974400003</v>
      </c>
      <c r="O9" s="28">
        <f t="shared" si="5"/>
        <v>1.2E-2</v>
      </c>
      <c r="P9" s="106">
        <f t="shared" si="6"/>
        <v>39.787849920000006</v>
      </c>
      <c r="Q9" s="105">
        <f t="shared" si="7"/>
        <v>1.1999999999999999E-3</v>
      </c>
      <c r="R9" s="106">
        <f t="shared" si="8"/>
        <v>3.9787849920000005</v>
      </c>
      <c r="S9">
        <v>100</v>
      </c>
      <c r="T9">
        <f>G9*S9*assumptions!$D$6</f>
        <v>61880</v>
      </c>
      <c r="U9">
        <v>10.9</v>
      </c>
      <c r="V9" s="57">
        <v>9.7222222222222224E-2</v>
      </c>
      <c r="W9" s="48">
        <v>4554.47</v>
      </c>
      <c r="X9" s="48">
        <f t="shared" si="9"/>
        <v>4417.8359</v>
      </c>
      <c r="Y9" s="51">
        <f>X9*assumptions!$C$7</f>
        <v>5743.18667</v>
      </c>
      <c r="Z9" s="48">
        <f t="shared" si="10"/>
        <v>136.63409999999999</v>
      </c>
      <c r="AA9" s="102">
        <f>Z9*assumptions!$D$8</f>
        <v>177.62432999999999</v>
      </c>
      <c r="AB9" s="70">
        <v>90</v>
      </c>
      <c r="AC9">
        <v>2</v>
      </c>
      <c r="AD9">
        <v>3</v>
      </c>
      <c r="AE9" s="49">
        <v>3.5</v>
      </c>
      <c r="AF9" s="51">
        <v>6979</v>
      </c>
      <c r="AG9" s="51">
        <v>1048.5</v>
      </c>
      <c r="AH9" s="51">
        <v>6287</v>
      </c>
      <c r="AI9" s="51">
        <v>18640</v>
      </c>
      <c r="AJ9" s="51">
        <v>4660</v>
      </c>
      <c r="AK9" s="51">
        <v>1456</v>
      </c>
      <c r="AL9" s="51">
        <v>2550</v>
      </c>
      <c r="AM9" s="59">
        <v>2903</v>
      </c>
      <c r="AN9" s="51">
        <f t="shared" si="11"/>
        <v>50444.310999999994</v>
      </c>
      <c r="AO9" s="72">
        <v>7650</v>
      </c>
      <c r="AP9" s="51">
        <v>38150</v>
      </c>
      <c r="AQ9" s="51">
        <f t="shared" si="12"/>
        <v>45800</v>
      </c>
    </row>
    <row r="10" spans="1:50" x14ac:dyDescent="0.3">
      <c r="B10" s="27" t="s">
        <v>49</v>
      </c>
      <c r="C10" s="28" t="s">
        <v>45</v>
      </c>
      <c r="D10" s="28" t="s">
        <v>46</v>
      </c>
      <c r="E10" s="29">
        <f>14*52</f>
        <v>728</v>
      </c>
      <c r="F10" s="28">
        <f t="shared" si="0"/>
        <v>364</v>
      </c>
      <c r="G10" s="28">
        <f t="shared" si="1"/>
        <v>728</v>
      </c>
      <c r="H10" s="28">
        <f>_xlfn.XLOOKUP(B10,'[1]Baseline 2025'!$B:$B,'[1]Baseline 2025'!$C:$C)</f>
        <v>158</v>
      </c>
      <c r="I10" s="28">
        <f t="shared" si="2"/>
        <v>115024</v>
      </c>
      <c r="J10" s="28" t="str">
        <f>_xlfn.XLOOKUP(B10,'[1]Baseline 2025'!$B:$B,'[1]Baseline 2025'!$E:$E)</f>
        <v>Short Haul</v>
      </c>
      <c r="K10" s="28">
        <f>_xlfn.XLOOKUP(B10,'[1]Baseline 2025'!$B:$B,'[1]Baseline 2025'!$I:$I)/100</f>
        <v>8442.7615999999998</v>
      </c>
      <c r="L10" s="28">
        <f t="shared" si="3"/>
        <v>844276.16</v>
      </c>
      <c r="M10" s="28">
        <v>3.84</v>
      </c>
      <c r="N10" s="28">
        <f t="shared" si="4"/>
        <v>3242.0204544000003</v>
      </c>
      <c r="O10" s="28">
        <f t="shared" si="5"/>
        <v>1.2E-2</v>
      </c>
      <c r="P10" s="106">
        <f t="shared" si="6"/>
        <v>10.13131392</v>
      </c>
      <c r="Q10" s="105">
        <f t="shared" si="7"/>
        <v>1.1999999999999999E-3</v>
      </c>
      <c r="R10" s="106">
        <f t="shared" si="8"/>
        <v>1.013131392</v>
      </c>
      <c r="S10">
        <v>100</v>
      </c>
      <c r="T10">
        <f>G10*S10*assumptions!$D$6</f>
        <v>61880</v>
      </c>
      <c r="U10">
        <v>10.9</v>
      </c>
      <c r="V10" s="57">
        <v>2.7777777777777776E-2</v>
      </c>
      <c r="W10" s="48">
        <v>579.86</v>
      </c>
      <c r="X10" s="48">
        <f t="shared" si="9"/>
        <v>562.46420000000001</v>
      </c>
      <c r="Y10" s="51">
        <f>X10*assumptions!$C$7</f>
        <v>731.20346000000006</v>
      </c>
      <c r="Z10" s="48">
        <f t="shared" si="10"/>
        <v>17.395800000000001</v>
      </c>
      <c r="AA10" s="102">
        <f>Z10*assumptions!$D$8</f>
        <v>22.614540000000002</v>
      </c>
      <c r="AB10" s="70">
        <v>37.5</v>
      </c>
      <c r="AC10">
        <v>2</v>
      </c>
      <c r="AD10">
        <v>3</v>
      </c>
      <c r="AE10" s="49">
        <v>3.5</v>
      </c>
      <c r="AF10" s="51">
        <v>888</v>
      </c>
      <c r="AG10" s="51">
        <v>300.01499999999999</v>
      </c>
      <c r="AH10" s="51">
        <v>4662</v>
      </c>
      <c r="AI10" s="51">
        <v>5333.6</v>
      </c>
      <c r="AJ10" s="51">
        <v>1333.4</v>
      </c>
      <c r="AK10" s="51">
        <v>417</v>
      </c>
      <c r="AL10" s="51">
        <v>2550</v>
      </c>
      <c r="AM10" s="59">
        <v>1097</v>
      </c>
      <c r="AN10" s="51">
        <f t="shared" si="11"/>
        <v>17334.832999999999</v>
      </c>
      <c r="AO10" s="72">
        <v>3187.5</v>
      </c>
      <c r="AP10" s="51">
        <v>38150</v>
      </c>
      <c r="AQ10" s="51">
        <f t="shared" si="12"/>
        <v>41337.5</v>
      </c>
    </row>
    <row r="11" spans="1:50" x14ac:dyDescent="0.3">
      <c r="B11" s="27" t="s">
        <v>50</v>
      </c>
      <c r="C11" s="28" t="s">
        <v>45</v>
      </c>
      <c r="D11" s="28" t="s">
        <v>46</v>
      </c>
      <c r="E11" s="29">
        <f>7*52*2</f>
        <v>728</v>
      </c>
      <c r="F11" s="28">
        <f t="shared" si="0"/>
        <v>364</v>
      </c>
      <c r="G11" s="28">
        <f t="shared" si="1"/>
        <v>728</v>
      </c>
      <c r="H11" s="28">
        <f>_xlfn.XLOOKUP(B11,'[1]Baseline 2025'!$B:$B,'[1]Baseline 2025'!$C:$C)</f>
        <v>561</v>
      </c>
      <c r="I11" s="28">
        <f t="shared" si="2"/>
        <v>408408</v>
      </c>
      <c r="J11" s="28" t="str">
        <f>_xlfn.XLOOKUP(B11,'[1]Baseline 2025'!$B:$B,'[1]Baseline 2025'!$E:$E)</f>
        <v>Short Haul</v>
      </c>
      <c r="K11" s="28">
        <f>_xlfn.XLOOKUP(B11,'[1]Baseline 2025'!$B:$B,'[1]Baseline 2025'!$I:$I)/100</f>
        <v>14988.573600000002</v>
      </c>
      <c r="L11" s="28">
        <f t="shared" si="3"/>
        <v>1498857.36</v>
      </c>
      <c r="M11" s="28">
        <v>3.84</v>
      </c>
      <c r="N11" s="28">
        <f t="shared" si="4"/>
        <v>5755.6122624</v>
      </c>
      <c r="O11" s="28">
        <f t="shared" si="5"/>
        <v>1.2E-2</v>
      </c>
      <c r="P11" s="106">
        <f t="shared" si="6"/>
        <v>17.986288320000003</v>
      </c>
      <c r="Q11" s="105">
        <f t="shared" si="7"/>
        <v>1.1999999999999999E-3</v>
      </c>
      <c r="R11" s="106">
        <f t="shared" si="8"/>
        <v>1.7986288319999999</v>
      </c>
      <c r="S11">
        <v>100</v>
      </c>
      <c r="T11">
        <f>G11*S11*assumptions!$D$6</f>
        <v>61880</v>
      </c>
      <c r="U11">
        <v>10.9</v>
      </c>
      <c r="V11" s="57">
        <v>5.5555555555555552E-2</v>
      </c>
      <c r="W11" s="48">
        <v>2058.87</v>
      </c>
      <c r="X11" s="48">
        <f t="shared" si="9"/>
        <v>1997.1038999999998</v>
      </c>
      <c r="Y11" s="51">
        <f>X11*assumptions!$C$7</f>
        <v>2596.2350699999997</v>
      </c>
      <c r="Z11" s="48">
        <f t="shared" si="10"/>
        <v>61.766099999999994</v>
      </c>
      <c r="AA11" s="102">
        <f>Z11*assumptions!$D$8</f>
        <v>80.295929999999998</v>
      </c>
      <c r="AB11" s="70">
        <v>45</v>
      </c>
      <c r="AC11">
        <v>2</v>
      </c>
      <c r="AD11">
        <v>3</v>
      </c>
      <c r="AE11" s="49">
        <v>3.5</v>
      </c>
      <c r="AF11" s="51">
        <v>3155</v>
      </c>
      <c r="AG11" s="51">
        <v>598.5</v>
      </c>
      <c r="AH11" s="51">
        <v>5267</v>
      </c>
      <c r="AI11" s="51">
        <v>10640</v>
      </c>
      <c r="AJ11" s="51">
        <v>2660</v>
      </c>
      <c r="AK11" s="51">
        <v>831</v>
      </c>
      <c r="AL11" s="51">
        <v>2550</v>
      </c>
      <c r="AM11" s="59">
        <v>1805</v>
      </c>
      <c r="AN11" s="51">
        <f t="shared" si="11"/>
        <v>30183.030999999999</v>
      </c>
      <c r="AO11" s="72">
        <v>3825</v>
      </c>
      <c r="AP11" s="51">
        <v>38150</v>
      </c>
      <c r="AQ11" s="51">
        <f t="shared" si="12"/>
        <v>41975</v>
      </c>
    </row>
    <row r="12" spans="1:50" x14ac:dyDescent="0.3">
      <c r="B12" s="27" t="s">
        <v>51</v>
      </c>
      <c r="C12" s="28" t="s">
        <v>45</v>
      </c>
      <c r="D12" s="28" t="s">
        <v>46</v>
      </c>
      <c r="E12" s="29">
        <f t="shared" ref="E12:E20" si="13">7*52</f>
        <v>364</v>
      </c>
      <c r="F12" s="28">
        <f t="shared" si="0"/>
        <v>182</v>
      </c>
      <c r="G12" s="28">
        <f t="shared" si="1"/>
        <v>364</v>
      </c>
      <c r="H12" s="28">
        <f>_xlfn.XLOOKUP(B12,'[1]Baseline 2025'!$B:$B,'[1]Baseline 2025'!$C:$C)</f>
        <v>399</v>
      </c>
      <c r="I12" s="28">
        <f t="shared" si="2"/>
        <v>145236</v>
      </c>
      <c r="J12" s="28" t="str">
        <f>_xlfn.XLOOKUP(B12,'[1]Baseline 2025'!$B:$B,'[1]Baseline 2025'!$E:$E)</f>
        <v>Short Haul</v>
      </c>
      <c r="K12" s="28">
        <f>_xlfn.XLOOKUP(B12,'[1]Baseline 2025'!$B:$B,'[1]Baseline 2025'!$I:$I)/100</f>
        <v>10660.322399999999</v>
      </c>
      <c r="L12" s="28">
        <f t="shared" si="3"/>
        <v>1066032.24</v>
      </c>
      <c r="M12" s="28">
        <v>3.84</v>
      </c>
      <c r="N12" s="28">
        <f t="shared" si="4"/>
        <v>4093.5638015999998</v>
      </c>
      <c r="O12" s="28">
        <f t="shared" si="5"/>
        <v>1.2E-2</v>
      </c>
      <c r="P12" s="106">
        <f t="shared" si="6"/>
        <v>12.79238688</v>
      </c>
      <c r="Q12" s="105">
        <f t="shared" si="7"/>
        <v>1.1999999999999999E-3</v>
      </c>
      <c r="R12" s="106">
        <f t="shared" si="8"/>
        <v>1.279238688</v>
      </c>
      <c r="S12">
        <v>100</v>
      </c>
      <c r="T12">
        <f>G12*S12*assumptions!$D$6</f>
        <v>30940</v>
      </c>
      <c r="U12">
        <v>10.9</v>
      </c>
      <c r="V12" s="57">
        <v>5.5555555555555552E-2</v>
      </c>
      <c r="W12" s="48">
        <v>1464.33</v>
      </c>
      <c r="X12" s="48">
        <f t="shared" si="9"/>
        <v>1420.4000999999998</v>
      </c>
      <c r="Y12" s="51">
        <f>X12*assumptions!$C$7</f>
        <v>1846.5201299999999</v>
      </c>
      <c r="Z12" s="48">
        <f t="shared" si="10"/>
        <v>43.929899999999996</v>
      </c>
      <c r="AA12" s="102">
        <f>Z12*assumptions!$D$8</f>
        <v>57.108869999999996</v>
      </c>
      <c r="AB12" s="70">
        <v>30</v>
      </c>
      <c r="AC12">
        <v>2</v>
      </c>
      <c r="AD12">
        <v>3</v>
      </c>
      <c r="AE12" s="49">
        <v>3.5</v>
      </c>
      <c r="AF12" s="51">
        <v>2243</v>
      </c>
      <c r="AG12" s="51">
        <v>598.5</v>
      </c>
      <c r="AH12" s="51">
        <v>5024</v>
      </c>
      <c r="AI12" s="51">
        <v>10640</v>
      </c>
      <c r="AJ12" s="51">
        <v>2660</v>
      </c>
      <c r="AK12" s="51">
        <v>831</v>
      </c>
      <c r="AL12" s="51">
        <v>2550</v>
      </c>
      <c r="AM12" s="59">
        <v>1811</v>
      </c>
      <c r="AN12" s="51">
        <f t="shared" si="11"/>
        <v>28261.129000000001</v>
      </c>
      <c r="AO12" s="59">
        <v>2550</v>
      </c>
      <c r="AP12" s="51">
        <v>38150</v>
      </c>
      <c r="AQ12" s="51">
        <f t="shared" si="12"/>
        <v>40700</v>
      </c>
    </row>
    <row r="13" spans="1:50" x14ac:dyDescent="0.3">
      <c r="B13" s="27" t="s">
        <v>52</v>
      </c>
      <c r="C13" s="28" t="s">
        <v>45</v>
      </c>
      <c r="D13" s="28" t="s">
        <v>46</v>
      </c>
      <c r="E13" s="29">
        <f t="shared" si="13"/>
        <v>364</v>
      </c>
      <c r="F13" s="28">
        <f t="shared" si="0"/>
        <v>182</v>
      </c>
      <c r="G13" s="28">
        <f t="shared" si="1"/>
        <v>364</v>
      </c>
      <c r="H13" s="28">
        <f>_xlfn.XLOOKUP(B13,'[1]Baseline 2025'!$B:$B,'[1]Baseline 2025'!$C:$C)</f>
        <v>753</v>
      </c>
      <c r="I13" s="28">
        <f t="shared" si="2"/>
        <v>274092</v>
      </c>
      <c r="J13" s="28" t="str">
        <f>_xlfn.XLOOKUP(B13,'[1]Baseline 2025'!$B:$B,'[1]Baseline 2025'!$E:$E)</f>
        <v>Short Haul</v>
      </c>
      <c r="K13" s="28">
        <f>_xlfn.XLOOKUP(B13,'[1]Baseline 2025'!$B:$B,'[1]Baseline 2025'!$I:$I)/100</f>
        <v>20118.352800000001</v>
      </c>
      <c r="L13" s="28">
        <f t="shared" si="3"/>
        <v>2011835.28</v>
      </c>
      <c r="M13" s="28">
        <v>3.84</v>
      </c>
      <c r="N13" s="28">
        <f t="shared" si="4"/>
        <v>7725.4474752000006</v>
      </c>
      <c r="O13" s="28">
        <f t="shared" si="5"/>
        <v>1.2E-2</v>
      </c>
      <c r="P13" s="106">
        <f t="shared" si="6"/>
        <v>24.14202336</v>
      </c>
      <c r="Q13" s="105">
        <f t="shared" si="7"/>
        <v>1.1999999999999999E-3</v>
      </c>
      <c r="R13" s="106">
        <f t="shared" si="8"/>
        <v>2.4142023359999998</v>
      </c>
      <c r="S13">
        <v>100</v>
      </c>
      <c r="T13">
        <f>G13*S13*assumptions!$D$6</f>
        <v>30940</v>
      </c>
      <c r="U13">
        <v>10.9</v>
      </c>
      <c r="V13" s="57">
        <v>6.9444444444444448E-2</v>
      </c>
      <c r="W13" s="48">
        <v>2763.5099999999998</v>
      </c>
      <c r="X13" s="48">
        <f t="shared" si="9"/>
        <v>2680.6046999999999</v>
      </c>
      <c r="Y13" s="51">
        <f>X13*assumptions!$C$7</f>
        <v>3484.78611</v>
      </c>
      <c r="Z13" s="48">
        <f t="shared" si="10"/>
        <v>82.905299999999997</v>
      </c>
      <c r="AA13" s="102">
        <f>Z13*assumptions!$D$8</f>
        <v>107.77688999999999</v>
      </c>
      <c r="AB13" s="70">
        <v>75</v>
      </c>
      <c r="AC13">
        <v>2</v>
      </c>
      <c r="AD13">
        <v>3</v>
      </c>
      <c r="AE13" s="49">
        <v>3.5</v>
      </c>
      <c r="AF13" s="51">
        <v>4235</v>
      </c>
      <c r="AG13" s="51">
        <v>747</v>
      </c>
      <c r="AH13" s="51">
        <v>5555</v>
      </c>
      <c r="AI13" s="51">
        <v>13280</v>
      </c>
      <c r="AJ13" s="51">
        <v>3320</v>
      </c>
      <c r="AK13" s="51">
        <v>1038</v>
      </c>
      <c r="AL13" s="51">
        <v>2550</v>
      </c>
      <c r="AM13" s="59">
        <v>2273</v>
      </c>
      <c r="AN13" s="51">
        <f t="shared" si="11"/>
        <v>36590.563000000002</v>
      </c>
      <c r="AO13" s="59">
        <v>6375</v>
      </c>
      <c r="AP13" s="51">
        <v>38150</v>
      </c>
      <c r="AQ13" s="51">
        <f t="shared" si="12"/>
        <v>44525</v>
      </c>
    </row>
    <row r="14" spans="1:50" x14ac:dyDescent="0.3">
      <c r="B14" s="27" t="s">
        <v>53</v>
      </c>
      <c r="C14" s="28" t="s">
        <v>45</v>
      </c>
      <c r="D14" s="28" t="s">
        <v>46</v>
      </c>
      <c r="E14" s="29">
        <f t="shared" si="13"/>
        <v>364</v>
      </c>
      <c r="F14" s="28">
        <f t="shared" si="0"/>
        <v>182</v>
      </c>
      <c r="G14" s="28">
        <f t="shared" si="1"/>
        <v>364</v>
      </c>
      <c r="H14" s="28">
        <f>_xlfn.XLOOKUP(B14,'[1]Baseline 2025'!$B:$B,'[1]Baseline 2025'!$C:$C)</f>
        <v>1970</v>
      </c>
      <c r="I14" s="28">
        <f t="shared" si="2"/>
        <v>717080</v>
      </c>
      <c r="J14" s="28" t="str">
        <f>_xlfn.XLOOKUP(B14,'[1]Baseline 2025'!$B:$B,'[1]Baseline 2025'!$E:$E)</f>
        <v>Short Haul</v>
      </c>
      <c r="K14" s="28">
        <f>_xlfn.XLOOKUP(B14,'[1]Baseline 2025'!$B:$B,'[1]Baseline 2025'!$I:$I)/100</f>
        <v>52633.671999999991</v>
      </c>
      <c r="L14" s="28">
        <f t="shared" si="3"/>
        <v>5263367.1999999993</v>
      </c>
      <c r="M14" s="28">
        <v>3.84</v>
      </c>
      <c r="N14" s="28">
        <f t="shared" si="4"/>
        <v>20211.330047999996</v>
      </c>
      <c r="O14" s="28">
        <f t="shared" si="5"/>
        <v>1.2E-2</v>
      </c>
      <c r="P14" s="106">
        <f t="shared" si="6"/>
        <v>63.160406399999992</v>
      </c>
      <c r="Q14" s="105">
        <f t="shared" si="7"/>
        <v>1.1999999999999999E-3</v>
      </c>
      <c r="R14" s="106">
        <f t="shared" si="8"/>
        <v>6.316040639999998</v>
      </c>
      <c r="S14">
        <v>100</v>
      </c>
      <c r="T14">
        <f>G14*S14*assumptions!$D$6</f>
        <v>30940</v>
      </c>
      <c r="U14">
        <v>10.9</v>
      </c>
      <c r="V14" s="57">
        <v>0.125</v>
      </c>
      <c r="W14" s="48">
        <v>7229.9</v>
      </c>
      <c r="X14" s="48">
        <f t="shared" si="9"/>
        <v>7013.0029999999997</v>
      </c>
      <c r="Y14" s="51">
        <f>X14*assumptions!$C$7</f>
        <v>9116.9038999999993</v>
      </c>
      <c r="Z14" s="48">
        <f t="shared" si="10"/>
        <v>216.89699999999999</v>
      </c>
      <c r="AA14" s="102">
        <f>Z14*assumptions!$D$8</f>
        <v>281.96609999999998</v>
      </c>
      <c r="AB14" s="70">
        <v>250</v>
      </c>
      <c r="AC14">
        <v>2</v>
      </c>
      <c r="AD14">
        <v>3</v>
      </c>
      <c r="AE14" s="49">
        <v>3.5</v>
      </c>
      <c r="AF14" s="51">
        <v>11079</v>
      </c>
      <c r="AG14" s="51">
        <v>1350</v>
      </c>
      <c r="AH14" s="51">
        <v>7380</v>
      </c>
      <c r="AI14" s="51">
        <v>24000</v>
      </c>
      <c r="AJ14" s="51">
        <v>6000</v>
      </c>
      <c r="AK14" s="51">
        <v>1875</v>
      </c>
      <c r="AL14" s="51">
        <v>2550</v>
      </c>
      <c r="AM14" s="59">
        <v>3763</v>
      </c>
      <c r="AN14" s="51">
        <f t="shared" si="11"/>
        <v>67395.87</v>
      </c>
      <c r="AO14" s="72">
        <v>21250</v>
      </c>
      <c r="AP14" s="51">
        <v>38150</v>
      </c>
      <c r="AQ14" s="51">
        <f t="shared" si="12"/>
        <v>59400</v>
      </c>
    </row>
    <row r="15" spans="1:50" x14ac:dyDescent="0.3">
      <c r="B15" s="27" t="s">
        <v>54</v>
      </c>
      <c r="C15" s="28" t="s">
        <v>45</v>
      </c>
      <c r="D15" s="28" t="s">
        <v>46</v>
      </c>
      <c r="E15" s="29">
        <f t="shared" si="13"/>
        <v>364</v>
      </c>
      <c r="F15" s="28">
        <f t="shared" si="0"/>
        <v>182</v>
      </c>
      <c r="G15" s="28">
        <f t="shared" si="1"/>
        <v>364</v>
      </c>
      <c r="H15" s="28">
        <f>_xlfn.XLOOKUP(B15,'[1]Baseline 2025'!$B:$B,'[1]Baseline 2025'!$C:$C)</f>
        <v>1848</v>
      </c>
      <c r="I15" s="28">
        <f t="shared" si="2"/>
        <v>672672</v>
      </c>
      <c r="J15" s="28" t="str">
        <f>_xlfn.XLOOKUP(B15,'[1]Baseline 2025'!$B:$B,'[1]Baseline 2025'!$E:$E)</f>
        <v>Short Haul</v>
      </c>
      <c r="K15" s="28">
        <f>_xlfn.XLOOKUP(B15,'[1]Baseline 2025'!$B:$B,'[1]Baseline 2025'!$I:$I)/100</f>
        <v>49374.124799999998</v>
      </c>
      <c r="L15" s="28">
        <f t="shared" si="3"/>
        <v>4937412.4799999995</v>
      </c>
      <c r="M15" s="28">
        <v>3.84</v>
      </c>
      <c r="N15" s="28">
        <f t="shared" si="4"/>
        <v>18959.663923199998</v>
      </c>
      <c r="O15" s="28">
        <f t="shared" si="5"/>
        <v>1.2E-2</v>
      </c>
      <c r="P15" s="106">
        <f t="shared" si="6"/>
        <v>59.248949759999995</v>
      </c>
      <c r="Q15" s="105">
        <f t="shared" si="7"/>
        <v>1.1999999999999999E-3</v>
      </c>
      <c r="R15" s="106">
        <f t="shared" si="8"/>
        <v>5.9248949759999983</v>
      </c>
      <c r="S15">
        <v>100</v>
      </c>
      <c r="T15">
        <f>G15*S15*assumptions!$D$6</f>
        <v>30940</v>
      </c>
      <c r="U15">
        <v>10.9</v>
      </c>
      <c r="V15" s="57">
        <v>0.13194444444444445</v>
      </c>
      <c r="W15" s="48">
        <v>6782.16</v>
      </c>
      <c r="X15" s="48">
        <f t="shared" si="9"/>
        <v>6578.6952000000001</v>
      </c>
      <c r="Y15" s="51">
        <f>X15*assumptions!$C$7</f>
        <v>8552.3037600000007</v>
      </c>
      <c r="Z15" s="48">
        <f t="shared" si="10"/>
        <v>203.4648</v>
      </c>
      <c r="AA15" s="102">
        <f>Z15*assumptions!$D$8</f>
        <v>264.50423999999998</v>
      </c>
      <c r="AB15" s="70">
        <v>264</v>
      </c>
      <c r="AC15">
        <v>2</v>
      </c>
      <c r="AD15">
        <v>3</v>
      </c>
      <c r="AE15" s="49">
        <v>3.5</v>
      </c>
      <c r="AF15" s="51">
        <v>10393</v>
      </c>
      <c r="AG15" s="51">
        <v>1425.0150000000001</v>
      </c>
      <c r="AH15" s="51">
        <v>7197</v>
      </c>
      <c r="AI15" s="51">
        <v>25333.599999999999</v>
      </c>
      <c r="AJ15" s="51">
        <v>6333.4</v>
      </c>
      <c r="AK15" s="51">
        <v>1979</v>
      </c>
      <c r="AL15" s="51">
        <v>2550</v>
      </c>
      <c r="AM15" s="59">
        <v>3840</v>
      </c>
      <c r="AN15" s="51">
        <f t="shared" si="11"/>
        <v>67867.823000000004</v>
      </c>
      <c r="AO15" s="72">
        <v>22440</v>
      </c>
      <c r="AP15" s="51">
        <v>38150</v>
      </c>
      <c r="AQ15" s="51">
        <f t="shared" si="12"/>
        <v>60590</v>
      </c>
    </row>
    <row r="16" spans="1:50" x14ac:dyDescent="0.3">
      <c r="B16" s="27" t="s">
        <v>55</v>
      </c>
      <c r="C16" s="28" t="s">
        <v>45</v>
      </c>
      <c r="D16" s="28" t="s">
        <v>46</v>
      </c>
      <c r="E16" s="29">
        <f t="shared" si="13"/>
        <v>364</v>
      </c>
      <c r="F16" s="28">
        <f t="shared" si="0"/>
        <v>182</v>
      </c>
      <c r="G16" s="28">
        <f t="shared" si="1"/>
        <v>364</v>
      </c>
      <c r="H16" s="28">
        <f>_xlfn.XLOOKUP(B16,'[1]Baseline 2025'!$B:$B,'[1]Baseline 2025'!$C:$C)</f>
        <v>665</v>
      </c>
      <c r="I16" s="28">
        <f t="shared" si="2"/>
        <v>242060</v>
      </c>
      <c r="J16" s="28" t="str">
        <f>_xlfn.XLOOKUP(B16,'[1]Baseline 2025'!$B:$B,'[1]Baseline 2025'!$E:$E)</f>
        <v>Short Haul</v>
      </c>
      <c r="K16" s="28">
        <f>_xlfn.XLOOKUP(B16,'[1]Baseline 2025'!$B:$B,'[1]Baseline 2025'!$I:$I)/100</f>
        <v>17767.203999999998</v>
      </c>
      <c r="L16" s="28">
        <f t="shared" si="3"/>
        <v>1776720.4</v>
      </c>
      <c r="M16" s="28">
        <v>3.84</v>
      </c>
      <c r="N16" s="28">
        <f t="shared" si="4"/>
        <v>6822.6063359999989</v>
      </c>
      <c r="O16" s="28">
        <f t="shared" si="5"/>
        <v>1.2E-2</v>
      </c>
      <c r="P16" s="106">
        <f t="shared" si="6"/>
        <v>21.320644799999997</v>
      </c>
      <c r="Q16" s="105">
        <f t="shared" si="7"/>
        <v>1.1999999999999999E-3</v>
      </c>
      <c r="R16" s="106">
        <f t="shared" si="8"/>
        <v>2.1320644799999995</v>
      </c>
      <c r="S16">
        <v>100</v>
      </c>
      <c r="T16">
        <f>G16*S16*assumptions!$D$6</f>
        <v>30940</v>
      </c>
      <c r="U16">
        <v>10.9</v>
      </c>
      <c r="V16" s="57">
        <v>5.9027777777777776E-2</v>
      </c>
      <c r="W16" s="48">
        <v>2440.5499999999997</v>
      </c>
      <c r="X16" s="48">
        <f t="shared" si="9"/>
        <v>2367.3334999999997</v>
      </c>
      <c r="Y16" s="51">
        <f>X16*assumptions!$C$7</f>
        <v>3077.5335499999997</v>
      </c>
      <c r="Z16" s="48">
        <f t="shared" si="10"/>
        <v>73.216499999999982</v>
      </c>
      <c r="AA16" s="102">
        <f>Z16*assumptions!$D$8</f>
        <v>95.181449999999984</v>
      </c>
      <c r="AB16" s="70">
        <v>49</v>
      </c>
      <c r="AC16">
        <v>2</v>
      </c>
      <c r="AD16">
        <v>3</v>
      </c>
      <c r="AE16" s="49">
        <v>3.5</v>
      </c>
      <c r="AF16" s="51">
        <v>4855</v>
      </c>
      <c r="AG16" s="51">
        <v>639</v>
      </c>
      <c r="AH16" s="51">
        <v>5423</v>
      </c>
      <c r="AI16" s="51">
        <v>11360</v>
      </c>
      <c r="AJ16" s="51">
        <v>2840</v>
      </c>
      <c r="AK16" s="51">
        <v>888</v>
      </c>
      <c r="AL16" s="51">
        <v>2550</v>
      </c>
      <c r="AM16" s="59">
        <v>1923</v>
      </c>
      <c r="AN16" s="51">
        <f t="shared" si="11"/>
        <v>33650.714999999997</v>
      </c>
      <c r="AO16" s="72">
        <v>4143.75</v>
      </c>
      <c r="AP16" s="51">
        <v>38150</v>
      </c>
      <c r="AQ16" s="51">
        <f t="shared" si="12"/>
        <v>42293.75</v>
      </c>
    </row>
    <row r="17" spans="1:43" x14ac:dyDescent="0.3">
      <c r="B17" s="27" t="s">
        <v>56</v>
      </c>
      <c r="C17" s="28" t="s">
        <v>45</v>
      </c>
      <c r="D17" s="28" t="s">
        <v>46</v>
      </c>
      <c r="E17" s="29">
        <f t="shared" si="13"/>
        <v>364</v>
      </c>
      <c r="F17" s="28">
        <f t="shared" si="0"/>
        <v>182</v>
      </c>
      <c r="G17" s="28">
        <f t="shared" si="1"/>
        <v>364</v>
      </c>
      <c r="H17" s="28">
        <f>_xlfn.XLOOKUP(B17,'[1]Baseline 2025'!$B:$B,'[1]Baseline 2025'!$C:$C)</f>
        <v>961</v>
      </c>
      <c r="I17" s="28">
        <f t="shared" si="2"/>
        <v>349804</v>
      </c>
      <c r="J17" s="28" t="str">
        <f>_xlfn.XLOOKUP(B17,'[1]Baseline 2025'!$B:$B,'[1]Baseline 2025'!$E:$E)</f>
        <v>Short Haul</v>
      </c>
      <c r="K17" s="28">
        <f>_xlfn.XLOOKUP(B17,'[1]Baseline 2025'!$B:$B,'[1]Baseline 2025'!$I:$I)/100</f>
        <v>25675.613599999997</v>
      </c>
      <c r="L17" s="28">
        <f t="shared" si="3"/>
        <v>2567561.36</v>
      </c>
      <c r="M17" s="28">
        <v>3.84</v>
      </c>
      <c r="N17" s="28">
        <f t="shared" si="4"/>
        <v>9859.4356223999985</v>
      </c>
      <c r="O17" s="28">
        <f t="shared" si="5"/>
        <v>1.2E-2</v>
      </c>
      <c r="P17" s="106">
        <f t="shared" si="6"/>
        <v>30.81073632</v>
      </c>
      <c r="Q17" s="105">
        <f t="shared" si="7"/>
        <v>1.1999999999999999E-3</v>
      </c>
      <c r="R17" s="106">
        <f t="shared" si="8"/>
        <v>3.0810736319999998</v>
      </c>
      <c r="S17">
        <v>100</v>
      </c>
      <c r="T17">
        <f>G17*S17*assumptions!$D$6</f>
        <v>30940</v>
      </c>
      <c r="U17">
        <v>10.9</v>
      </c>
      <c r="V17" s="57">
        <v>7.2916666666666671E-2</v>
      </c>
      <c r="W17" s="48">
        <v>3526.87</v>
      </c>
      <c r="X17" s="48">
        <f t="shared" si="9"/>
        <v>3421.0638999999996</v>
      </c>
      <c r="Y17" s="51">
        <f>X17*assumptions!$C$7</f>
        <v>4447.3830699999999</v>
      </c>
      <c r="Z17" s="48">
        <f t="shared" si="10"/>
        <v>105.80609999999999</v>
      </c>
      <c r="AA17" s="102">
        <f>Z17*assumptions!$D$8</f>
        <v>137.54792999999998</v>
      </c>
      <c r="AB17" s="70">
        <v>52.5</v>
      </c>
      <c r="AC17">
        <v>2</v>
      </c>
      <c r="AD17">
        <v>3</v>
      </c>
      <c r="AE17" s="49">
        <v>3.5</v>
      </c>
      <c r="AF17" s="51">
        <v>5404</v>
      </c>
      <c r="AG17" s="51">
        <v>787.5</v>
      </c>
      <c r="AH17" s="51">
        <v>5867</v>
      </c>
      <c r="AI17" s="51">
        <v>14000</v>
      </c>
      <c r="AJ17" s="51">
        <v>3500</v>
      </c>
      <c r="AK17" s="51">
        <v>1094</v>
      </c>
      <c r="AL17" s="51">
        <v>2550</v>
      </c>
      <c r="AM17" s="59">
        <v>2318</v>
      </c>
      <c r="AN17" s="51">
        <f t="shared" si="11"/>
        <v>40105.430999999997</v>
      </c>
      <c r="AO17" s="72">
        <v>4462.5</v>
      </c>
      <c r="AP17" s="51">
        <v>38150</v>
      </c>
      <c r="AQ17" s="51">
        <f t="shared" si="12"/>
        <v>42612.5</v>
      </c>
    </row>
    <row r="18" spans="1:43" x14ac:dyDescent="0.3">
      <c r="B18" s="27" t="s">
        <v>57</v>
      </c>
      <c r="C18" s="28" t="s">
        <v>45</v>
      </c>
      <c r="D18" s="28" t="s">
        <v>46</v>
      </c>
      <c r="E18" s="29">
        <f t="shared" si="13"/>
        <v>364</v>
      </c>
      <c r="F18" s="28">
        <f t="shared" si="0"/>
        <v>182</v>
      </c>
      <c r="G18" s="28">
        <f t="shared" si="1"/>
        <v>364</v>
      </c>
      <c r="H18" s="28">
        <f>_xlfn.XLOOKUP(B18,'[1]Baseline 2025'!$B:$B,'[1]Baseline 2025'!$C:$C)</f>
        <v>1426</v>
      </c>
      <c r="I18" s="28">
        <f t="shared" si="2"/>
        <v>519064</v>
      </c>
      <c r="J18" s="28" t="str">
        <f>_xlfn.XLOOKUP(B18,'[1]Baseline 2025'!$B:$B,'[1]Baseline 2025'!$E:$E)</f>
        <v>Short Haul</v>
      </c>
      <c r="K18" s="28">
        <f>_xlfn.XLOOKUP(B18,'[1]Baseline 2025'!$B:$B,'[1]Baseline 2025'!$I:$I)/100</f>
        <v>38099.297600000005</v>
      </c>
      <c r="L18" s="28">
        <f t="shared" si="3"/>
        <v>3809929.7600000007</v>
      </c>
      <c r="M18" s="28">
        <v>3.84</v>
      </c>
      <c r="N18" s="28">
        <f t="shared" si="4"/>
        <v>14630.130278400002</v>
      </c>
      <c r="O18" s="28">
        <f t="shared" si="5"/>
        <v>1.2E-2</v>
      </c>
      <c r="P18" s="106">
        <f t="shared" si="6"/>
        <v>45.719157120000013</v>
      </c>
      <c r="Q18" s="105">
        <f t="shared" si="7"/>
        <v>1.1999999999999999E-3</v>
      </c>
      <c r="R18" s="106">
        <f t="shared" si="8"/>
        <v>4.5719157120000009</v>
      </c>
      <c r="S18">
        <v>100</v>
      </c>
      <c r="T18">
        <f>G18*S18*assumptions!$D$6</f>
        <v>30940</v>
      </c>
      <c r="U18">
        <v>10.9</v>
      </c>
      <c r="V18" s="57">
        <v>0.10069444444444445</v>
      </c>
      <c r="W18" s="48">
        <v>5233.42</v>
      </c>
      <c r="X18" s="48">
        <f t="shared" si="9"/>
        <v>5076.4174000000003</v>
      </c>
      <c r="Y18" s="51">
        <f>X18*assumptions!$C$7</f>
        <v>6599.3426200000004</v>
      </c>
      <c r="Z18" s="48">
        <f t="shared" si="10"/>
        <v>157.0026</v>
      </c>
      <c r="AA18" s="102">
        <f>Z18*assumptions!$D$8</f>
        <v>204.10338000000002</v>
      </c>
      <c r="AB18" s="70">
        <v>128</v>
      </c>
      <c r="AC18">
        <v>2</v>
      </c>
      <c r="AD18">
        <v>3</v>
      </c>
      <c r="AE18" s="49">
        <v>3.5</v>
      </c>
      <c r="AF18" s="51">
        <v>8019</v>
      </c>
      <c r="AG18" s="51">
        <v>1089</v>
      </c>
      <c r="AH18" s="51">
        <v>6564</v>
      </c>
      <c r="AI18" s="51">
        <v>19360</v>
      </c>
      <c r="AJ18" s="51">
        <v>4840</v>
      </c>
      <c r="AK18" s="51">
        <v>1513</v>
      </c>
      <c r="AL18" s="51">
        <v>2550</v>
      </c>
      <c r="AM18" s="59">
        <v>3058</v>
      </c>
      <c r="AN18" s="51">
        <f t="shared" si="11"/>
        <v>53796.445999999996</v>
      </c>
      <c r="AO18" s="72">
        <v>10837.5</v>
      </c>
      <c r="AP18" s="51">
        <v>38150</v>
      </c>
      <c r="AQ18" s="51">
        <f t="shared" si="12"/>
        <v>48987.5</v>
      </c>
    </row>
    <row r="19" spans="1:43" x14ac:dyDescent="0.3">
      <c r="B19" s="27" t="s">
        <v>58</v>
      </c>
      <c r="C19" s="28" t="s">
        <v>45</v>
      </c>
      <c r="D19" s="28" t="s">
        <v>46</v>
      </c>
      <c r="E19" s="29">
        <f t="shared" si="13"/>
        <v>364</v>
      </c>
      <c r="F19" s="28">
        <f t="shared" si="0"/>
        <v>182</v>
      </c>
      <c r="G19" s="28">
        <f t="shared" si="1"/>
        <v>364</v>
      </c>
      <c r="H19" s="28">
        <f>_xlfn.XLOOKUP(B19,'[1]Baseline 2025'!$B:$B,'[1]Baseline 2025'!$C:$C)</f>
        <v>962</v>
      </c>
      <c r="I19" s="28">
        <f t="shared" si="2"/>
        <v>350168</v>
      </c>
      <c r="J19" s="28" t="str">
        <f>_xlfn.XLOOKUP(B19,'[1]Baseline 2025'!$B:$B,'[1]Baseline 2025'!$E:$E)</f>
        <v>Short Haul</v>
      </c>
      <c r="K19" s="28">
        <f>_xlfn.XLOOKUP(B19,'[1]Baseline 2025'!$B:$B,'[1]Baseline 2025'!$I:$I)/100</f>
        <v>25702.331200000001</v>
      </c>
      <c r="L19" s="28">
        <f t="shared" si="3"/>
        <v>2570233.12</v>
      </c>
      <c r="M19" s="28">
        <v>3.84</v>
      </c>
      <c r="N19" s="28">
        <f t="shared" si="4"/>
        <v>9869.6951807999994</v>
      </c>
      <c r="O19" s="28">
        <f t="shared" si="5"/>
        <v>1.2E-2</v>
      </c>
      <c r="P19" s="106">
        <f t="shared" si="6"/>
        <v>30.842797440000002</v>
      </c>
      <c r="Q19" s="105">
        <f t="shared" si="7"/>
        <v>1.1999999999999999E-3</v>
      </c>
      <c r="R19" s="106">
        <f t="shared" si="8"/>
        <v>3.0842797439999998</v>
      </c>
      <c r="S19">
        <v>100</v>
      </c>
      <c r="T19">
        <f>G19*S19*assumptions!$D$6</f>
        <v>30940</v>
      </c>
      <c r="U19">
        <v>10.9</v>
      </c>
      <c r="V19" s="57">
        <v>7.2916666666666671E-2</v>
      </c>
      <c r="W19" s="48">
        <v>3530.54</v>
      </c>
      <c r="X19" s="48">
        <f t="shared" si="9"/>
        <v>3424.6237999999998</v>
      </c>
      <c r="Y19" s="51">
        <f>X19*assumptions!$C$7</f>
        <v>4452.0109400000001</v>
      </c>
      <c r="Z19" s="48">
        <f t="shared" si="10"/>
        <v>105.91619999999999</v>
      </c>
      <c r="AA19" s="102">
        <f>Z19*assumptions!$D$8</f>
        <v>137.69105999999999</v>
      </c>
      <c r="AB19" s="70">
        <v>60.75</v>
      </c>
      <c r="AC19">
        <v>2</v>
      </c>
      <c r="AD19">
        <v>3</v>
      </c>
      <c r="AE19" s="49">
        <v>3.5</v>
      </c>
      <c r="AF19" s="51">
        <v>5411</v>
      </c>
      <c r="AG19" s="51">
        <v>787.5</v>
      </c>
      <c r="AH19" s="51">
        <v>5868</v>
      </c>
      <c r="AI19" s="51">
        <v>14000</v>
      </c>
      <c r="AJ19" s="51">
        <v>3500</v>
      </c>
      <c r="AK19" s="51">
        <v>1094</v>
      </c>
      <c r="AL19" s="51">
        <v>2550</v>
      </c>
      <c r="AM19" s="59">
        <v>2318</v>
      </c>
      <c r="AN19" s="51">
        <f t="shared" si="11"/>
        <v>40118.201999999997</v>
      </c>
      <c r="AO19" s="72">
        <v>5163.75</v>
      </c>
      <c r="AP19" s="51">
        <v>38150</v>
      </c>
      <c r="AQ19" s="51">
        <f t="shared" si="12"/>
        <v>43313.75</v>
      </c>
    </row>
    <row r="20" spans="1:43" x14ac:dyDescent="0.3">
      <c r="B20" s="27" t="s">
        <v>59</v>
      </c>
      <c r="C20" s="28" t="s">
        <v>45</v>
      </c>
      <c r="D20" s="28" t="s">
        <v>46</v>
      </c>
      <c r="E20" s="29">
        <f t="shared" si="13"/>
        <v>364</v>
      </c>
      <c r="F20" s="28">
        <f t="shared" si="0"/>
        <v>182</v>
      </c>
      <c r="G20" s="28">
        <f t="shared" si="1"/>
        <v>364</v>
      </c>
      <c r="H20" s="28">
        <f>_xlfn.XLOOKUP(B20,'[1]Baseline 2025'!$B:$B,'[1]Baseline 2025'!$C:$C)</f>
        <v>1105</v>
      </c>
      <c r="I20" s="28">
        <f t="shared" si="2"/>
        <v>402220</v>
      </c>
      <c r="J20" s="28" t="str">
        <f>_xlfn.XLOOKUP(B20,'[1]Baseline 2025'!$B:$B,'[1]Baseline 2025'!$E:$E)</f>
        <v>Short Haul</v>
      </c>
      <c r="K20" s="28">
        <f>_xlfn.XLOOKUP(B20,'[1]Baseline 2025'!$B:$B,'[1]Baseline 2025'!$I:$I)/100</f>
        <v>29522.948000000004</v>
      </c>
      <c r="L20" s="28">
        <f t="shared" si="3"/>
        <v>2952294.8000000003</v>
      </c>
      <c r="M20" s="28">
        <v>3.84</v>
      </c>
      <c r="N20" s="28">
        <f t="shared" si="4"/>
        <v>11336.812032000002</v>
      </c>
      <c r="O20" s="28">
        <f t="shared" si="5"/>
        <v>1.2E-2</v>
      </c>
      <c r="P20" s="106">
        <f t="shared" si="6"/>
        <v>35.427537600000001</v>
      </c>
      <c r="Q20" s="105">
        <f t="shared" si="7"/>
        <v>1.1999999999999999E-3</v>
      </c>
      <c r="R20" s="106">
        <f t="shared" si="8"/>
        <v>3.5427537600000001</v>
      </c>
      <c r="S20">
        <v>100</v>
      </c>
      <c r="T20">
        <f>G20*S20*assumptions!$D$6</f>
        <v>30940</v>
      </c>
      <c r="U20">
        <v>10.9</v>
      </c>
      <c r="V20" s="57">
        <v>7.9861111111111105E-2</v>
      </c>
      <c r="W20" s="48">
        <v>4055.35</v>
      </c>
      <c r="X20" s="48">
        <f t="shared" si="9"/>
        <v>3933.6895</v>
      </c>
      <c r="Y20" s="51">
        <f>X20*assumptions!$C$7</f>
        <v>5113.7963500000005</v>
      </c>
      <c r="Z20" s="48">
        <f t="shared" si="10"/>
        <v>121.6605</v>
      </c>
      <c r="AA20" s="102">
        <f>Z20*assumptions!$D$8</f>
        <v>158.15864999999999</v>
      </c>
      <c r="AB20" s="70">
        <v>66</v>
      </c>
      <c r="AC20">
        <v>2</v>
      </c>
      <c r="AD20">
        <v>3</v>
      </c>
      <c r="AE20" s="49">
        <v>3.5</v>
      </c>
      <c r="AF20" s="51">
        <v>6559</v>
      </c>
      <c r="AG20" s="51">
        <v>862.51499999999999</v>
      </c>
      <c r="AH20" s="51">
        <v>6083</v>
      </c>
      <c r="AI20" s="51">
        <v>15333.6</v>
      </c>
      <c r="AJ20" s="51">
        <v>3833.4</v>
      </c>
      <c r="AK20" s="51">
        <v>1198</v>
      </c>
      <c r="AL20" s="51">
        <v>2550</v>
      </c>
      <c r="AM20" s="59">
        <v>2515</v>
      </c>
      <c r="AN20" s="51">
        <f t="shared" si="11"/>
        <v>44206.47</v>
      </c>
      <c r="AO20" s="72">
        <v>5610</v>
      </c>
      <c r="AP20" s="51">
        <v>38150</v>
      </c>
      <c r="AQ20" s="51">
        <f t="shared" si="12"/>
        <v>43760</v>
      </c>
    </row>
    <row r="21" spans="1:43" x14ac:dyDescent="0.3">
      <c r="B21" s="27" t="s">
        <v>60</v>
      </c>
      <c r="C21" s="28" t="s">
        <v>45</v>
      </c>
      <c r="D21" s="28" t="s">
        <v>46</v>
      </c>
      <c r="E21" s="29">
        <f>14*52*2</f>
        <v>1456</v>
      </c>
      <c r="F21" s="28">
        <f t="shared" si="0"/>
        <v>728</v>
      </c>
      <c r="G21" s="28">
        <f t="shared" si="1"/>
        <v>1456</v>
      </c>
      <c r="H21" s="28">
        <f>_xlfn.XLOOKUP(B21,'[1]Baseline 2025'!$B:$B,'[1]Baseline 2025'!$C:$C)</f>
        <v>603</v>
      </c>
      <c r="I21" s="28">
        <f t="shared" si="2"/>
        <v>877968</v>
      </c>
      <c r="J21" s="28" t="str">
        <f>_xlfn.XLOOKUP(B21,'[1]Baseline 2025'!$B:$B,'[1]Baseline 2025'!$E:$E)</f>
        <v>Short Haul</v>
      </c>
      <c r="K21" s="28">
        <f>_xlfn.XLOOKUP(B21,'[1]Baseline 2025'!$B:$B,'[1]Baseline 2025'!$I:$I)/100</f>
        <v>32221.425599999995</v>
      </c>
      <c r="L21" s="28">
        <f t="shared" si="3"/>
        <v>3222142.5599999996</v>
      </c>
      <c r="M21" s="28">
        <v>3.84</v>
      </c>
      <c r="N21" s="28">
        <f t="shared" si="4"/>
        <v>12373.027430399998</v>
      </c>
      <c r="O21" s="28">
        <f t="shared" si="5"/>
        <v>1.2E-2</v>
      </c>
      <c r="P21" s="106">
        <f t="shared" si="6"/>
        <v>38.665710719999993</v>
      </c>
      <c r="Q21" s="105">
        <f t="shared" si="7"/>
        <v>1.1999999999999999E-3</v>
      </c>
      <c r="R21" s="106">
        <f t="shared" si="8"/>
        <v>3.8665710719999993</v>
      </c>
      <c r="S21">
        <v>100</v>
      </c>
      <c r="T21">
        <f>G21*S21*assumptions!$D$6</f>
        <v>123760</v>
      </c>
      <c r="U21">
        <v>10.9</v>
      </c>
      <c r="V21" s="57">
        <v>5.9027777777777776E-2</v>
      </c>
      <c r="W21" s="48">
        <v>2213.0099999999998</v>
      </c>
      <c r="X21" s="48">
        <f t="shared" si="9"/>
        <v>2146.6196999999997</v>
      </c>
      <c r="Y21" s="51">
        <f>X21*assumptions!$C$7</f>
        <v>2790.6056099999996</v>
      </c>
      <c r="Z21" s="48">
        <f t="shared" si="10"/>
        <v>66.390299999999996</v>
      </c>
      <c r="AA21" s="102">
        <f>Z21*assumptions!$D$8</f>
        <v>86.307389999999998</v>
      </c>
      <c r="AB21" s="70">
        <v>48.75</v>
      </c>
      <c r="AC21">
        <v>2</v>
      </c>
      <c r="AD21">
        <v>3</v>
      </c>
      <c r="AE21" s="49">
        <v>3.5</v>
      </c>
      <c r="AF21" s="51">
        <v>3392</v>
      </c>
      <c r="AG21" s="51">
        <v>637.51499999999999</v>
      </c>
      <c r="AH21" s="51">
        <v>5330</v>
      </c>
      <c r="AI21" s="51">
        <v>11333.6</v>
      </c>
      <c r="AJ21" s="51">
        <v>2833.4</v>
      </c>
      <c r="AK21" s="51">
        <v>885</v>
      </c>
      <c r="AL21" s="51">
        <v>2550</v>
      </c>
      <c r="AM21" s="59">
        <v>1892</v>
      </c>
      <c r="AN21" s="51">
        <f t="shared" si="11"/>
        <v>31730.428000000004</v>
      </c>
      <c r="AO21" s="72">
        <v>4143.75</v>
      </c>
      <c r="AP21" s="51">
        <v>38150</v>
      </c>
      <c r="AQ21" s="51">
        <f t="shared" si="12"/>
        <v>42293.75</v>
      </c>
    </row>
    <row r="22" spans="1:43" x14ac:dyDescent="0.3">
      <c r="B22" s="61" t="s">
        <v>61</v>
      </c>
      <c r="C22" s="24" t="s">
        <v>62</v>
      </c>
      <c r="D22" s="24" t="s">
        <v>46</v>
      </c>
      <c r="E22" s="25">
        <f>3*52*2</f>
        <v>312</v>
      </c>
      <c r="F22" s="24">
        <f t="shared" si="0"/>
        <v>156</v>
      </c>
      <c r="G22" s="24">
        <f t="shared" si="1"/>
        <v>312</v>
      </c>
      <c r="H22" s="24">
        <f>_xlfn.XLOOKUP(B22,'[1]Baseline 2025'!$B:$B,'[1]Baseline 2025'!$C:$C)</f>
        <v>9217</v>
      </c>
      <c r="I22" s="24">
        <f t="shared" si="2"/>
        <v>2875704</v>
      </c>
      <c r="J22" s="24" t="str">
        <f>_xlfn.XLOOKUP(B22,'[1]Baseline 2025'!$B:$B,'[1]Baseline 2025'!$E:$E)</f>
        <v>Long Haul</v>
      </c>
      <c r="K22" s="24">
        <f>_xlfn.XLOOKUP(B22,'[1]Baseline 2025'!$B:$B,'[1]Baseline 2025'!$I:$I)/100</f>
        <v>213377.23679999998</v>
      </c>
      <c r="L22" s="24">
        <f t="shared" si="3"/>
        <v>21337723.68</v>
      </c>
      <c r="M22" s="24">
        <v>3.84</v>
      </c>
      <c r="N22" s="24">
        <f t="shared" si="4"/>
        <v>81936.858931199997</v>
      </c>
      <c r="O22" s="28">
        <f t="shared" si="5"/>
        <v>1.2E-2</v>
      </c>
      <c r="P22" s="106">
        <f t="shared" si="6"/>
        <v>256.05268416000001</v>
      </c>
      <c r="Q22" s="105">
        <f t="shared" si="7"/>
        <v>1.1999999999999999E-3</v>
      </c>
      <c r="R22" s="106">
        <f t="shared" si="8"/>
        <v>25.605268415999998</v>
      </c>
      <c r="S22">
        <v>300</v>
      </c>
      <c r="T22">
        <f>G22*S22*assumptions!$D$6</f>
        <v>79560</v>
      </c>
      <c r="U22">
        <v>20</v>
      </c>
      <c r="V22" s="57">
        <v>0.46875</v>
      </c>
      <c r="W22" s="48">
        <v>68390.14</v>
      </c>
      <c r="X22" s="48">
        <f t="shared" si="9"/>
        <v>66338.435799999992</v>
      </c>
      <c r="Y22" s="51">
        <f>X22*assumptions!$C$7</f>
        <v>86239.966539999994</v>
      </c>
      <c r="Z22" s="48">
        <f t="shared" si="10"/>
        <v>2051.7042000000001</v>
      </c>
      <c r="AA22" s="102">
        <f>Z22*assumptions!$D$8</f>
        <v>2667.2154600000003</v>
      </c>
      <c r="AB22" s="70">
        <v>920</v>
      </c>
      <c r="AC22">
        <v>3</v>
      </c>
      <c r="AD22">
        <v>12</v>
      </c>
      <c r="AE22" s="49">
        <v>3.5</v>
      </c>
      <c r="AF22" s="51">
        <v>104795</v>
      </c>
      <c r="AG22" s="51">
        <v>11812.5</v>
      </c>
      <c r="AH22" s="51">
        <v>27101</v>
      </c>
      <c r="AI22" s="51">
        <v>90000</v>
      </c>
      <c r="AJ22" s="51">
        <v>22500</v>
      </c>
      <c r="AK22" s="51">
        <v>21094</v>
      </c>
      <c r="AL22" s="51">
        <v>7650</v>
      </c>
      <c r="AM22" s="59">
        <v>19300</v>
      </c>
      <c r="AN22" s="51">
        <f t="shared" si="11"/>
        <v>393159.68199999997</v>
      </c>
      <c r="AO22" s="72">
        <v>234600</v>
      </c>
      <c r="AP22" s="51">
        <v>70000</v>
      </c>
      <c r="AQ22" s="51">
        <f t="shared" si="12"/>
        <v>304600</v>
      </c>
    </row>
    <row r="23" spans="1:43" x14ac:dyDescent="0.3">
      <c r="B23" s="61" t="s">
        <v>63</v>
      </c>
      <c r="C23" s="24" t="s">
        <v>62</v>
      </c>
      <c r="D23" s="24" t="s">
        <v>46</v>
      </c>
      <c r="E23" s="25">
        <f>3*52*2</f>
        <v>312</v>
      </c>
      <c r="F23" s="24">
        <f t="shared" si="0"/>
        <v>156</v>
      </c>
      <c r="G23" s="24">
        <f t="shared" si="1"/>
        <v>312</v>
      </c>
      <c r="H23" s="24">
        <f>_xlfn.XLOOKUP(B23,'[1]Baseline 2025'!$B:$B,'[1]Baseline 2025'!$C:$C)</f>
        <v>9285</v>
      </c>
      <c r="I23" s="24">
        <f t="shared" si="2"/>
        <v>2896920</v>
      </c>
      <c r="J23" s="24" t="str">
        <f>_xlfn.XLOOKUP(B23,'[1]Baseline 2025'!$B:$B,'[1]Baseline 2025'!$E:$E)</f>
        <v>Long Haul</v>
      </c>
      <c r="K23" s="24">
        <f>_xlfn.XLOOKUP(B23,'[1]Baseline 2025'!$B:$B,'[1]Baseline 2025'!$I:$I)/100</f>
        <v>214951.46399999998</v>
      </c>
      <c r="L23" s="24">
        <f t="shared" si="3"/>
        <v>21495146.399999999</v>
      </c>
      <c r="M23" s="24">
        <v>3.84</v>
      </c>
      <c r="N23" s="24">
        <f t="shared" si="4"/>
        <v>82541.362175999981</v>
      </c>
      <c r="O23" s="28">
        <f t="shared" si="5"/>
        <v>1.2E-2</v>
      </c>
      <c r="P23" s="106">
        <f t="shared" si="6"/>
        <v>257.94175679999995</v>
      </c>
      <c r="Q23" s="105">
        <f t="shared" si="7"/>
        <v>1.1999999999999999E-3</v>
      </c>
      <c r="R23" s="106">
        <f t="shared" si="8"/>
        <v>25.794175679999995</v>
      </c>
      <c r="S23">
        <v>300</v>
      </c>
      <c r="T23">
        <f>G23*S23*assumptions!$D$6</f>
        <v>79560</v>
      </c>
      <c r="U23">
        <v>20</v>
      </c>
      <c r="V23" s="57">
        <v>0.46875</v>
      </c>
      <c r="W23" s="48">
        <v>68894.7</v>
      </c>
      <c r="X23" s="48">
        <f t="shared" si="9"/>
        <v>66827.858999999997</v>
      </c>
      <c r="Y23" s="51">
        <f>X23*assumptions!$C$7</f>
        <v>86876.216700000004</v>
      </c>
      <c r="Z23" s="48">
        <f t="shared" si="10"/>
        <v>2066.8409999999999</v>
      </c>
      <c r="AA23" s="102">
        <f>Z23*assumptions!$D$8</f>
        <v>2686.8933000000002</v>
      </c>
      <c r="AB23" s="70">
        <v>924</v>
      </c>
      <c r="AC23">
        <v>3</v>
      </c>
      <c r="AD23">
        <v>12</v>
      </c>
      <c r="AE23" s="49">
        <v>3.5</v>
      </c>
      <c r="AF23" s="51">
        <v>105569</v>
      </c>
      <c r="AG23" s="51">
        <v>11812.5</v>
      </c>
      <c r="AH23" s="51">
        <v>27203</v>
      </c>
      <c r="AI23" s="51">
        <v>90000</v>
      </c>
      <c r="AJ23" s="51">
        <v>22500</v>
      </c>
      <c r="AK23" s="51">
        <v>21094</v>
      </c>
      <c r="AL23" s="51">
        <v>7650</v>
      </c>
      <c r="AM23" s="59">
        <v>19354</v>
      </c>
      <c r="AN23" s="51">
        <f t="shared" si="11"/>
        <v>394745.61</v>
      </c>
      <c r="AO23" s="72">
        <v>235620</v>
      </c>
      <c r="AP23" s="51">
        <v>70000</v>
      </c>
      <c r="AQ23" s="51">
        <f t="shared" si="12"/>
        <v>305620</v>
      </c>
    </row>
    <row r="24" spans="1:43" x14ac:dyDescent="0.3">
      <c r="B24" s="61" t="s">
        <v>64</v>
      </c>
      <c r="C24" s="24" t="s">
        <v>62</v>
      </c>
      <c r="D24" s="24" t="s">
        <v>46</v>
      </c>
      <c r="E24" s="25">
        <f>52*2</f>
        <v>104</v>
      </c>
      <c r="F24" s="24">
        <f t="shared" si="0"/>
        <v>52</v>
      </c>
      <c r="G24" s="24">
        <f t="shared" si="1"/>
        <v>104</v>
      </c>
      <c r="H24" s="24">
        <f>_xlfn.XLOOKUP(B24,'[1]Baseline 2025'!$B:$B,'[1]Baseline 2025'!$C:$C)</f>
        <v>8886</v>
      </c>
      <c r="I24" s="24">
        <f t="shared" si="2"/>
        <v>924144</v>
      </c>
      <c r="J24" s="24" t="str">
        <f>_xlfn.XLOOKUP(B24,'[1]Baseline 2025'!$B:$B,'[1]Baseline 2025'!$E:$E)</f>
        <v>Long Haul</v>
      </c>
      <c r="K24" s="24">
        <f>_xlfn.XLOOKUP(B24,'[1]Baseline 2025'!$B:$B,'[1]Baseline 2025'!$I:$I)/100</f>
        <v>68571.484799999991</v>
      </c>
      <c r="L24" s="24">
        <f t="shared" si="3"/>
        <v>6857148.4799999995</v>
      </c>
      <c r="M24" s="24">
        <v>3.84</v>
      </c>
      <c r="N24" s="24">
        <f t="shared" si="4"/>
        <v>26331.450163199999</v>
      </c>
      <c r="O24" s="28">
        <f t="shared" si="5"/>
        <v>1.2E-2</v>
      </c>
      <c r="P24" s="106">
        <f t="shared" si="6"/>
        <v>82.285781759999992</v>
      </c>
      <c r="Q24" s="105">
        <f t="shared" si="7"/>
        <v>1.1999999999999999E-3</v>
      </c>
      <c r="R24" s="106">
        <f t="shared" si="8"/>
        <v>8.2285781759999992</v>
      </c>
      <c r="S24">
        <v>300</v>
      </c>
      <c r="T24">
        <f>G24*S24*assumptions!$D$6</f>
        <v>26520</v>
      </c>
      <c r="U24">
        <v>20</v>
      </c>
      <c r="V24" s="57">
        <v>0.45833333333333331</v>
      </c>
      <c r="W24" s="48">
        <v>65934.12</v>
      </c>
      <c r="X24" s="48">
        <f t="shared" si="9"/>
        <v>63956.096399999995</v>
      </c>
      <c r="Y24" s="51">
        <f>X24*assumptions!$C$7</f>
        <v>83142.925319999995</v>
      </c>
      <c r="Z24" s="48">
        <f t="shared" si="10"/>
        <v>1978.0235999999998</v>
      </c>
      <c r="AA24" s="102">
        <f>Z24*assumptions!$D$8</f>
        <v>2571.4306799999999</v>
      </c>
      <c r="AB24" s="70">
        <v>889</v>
      </c>
      <c r="AC24">
        <v>3</v>
      </c>
      <c r="AD24">
        <v>12</v>
      </c>
      <c r="AE24" s="49">
        <v>3.5</v>
      </c>
      <c r="AF24" s="51">
        <v>101032</v>
      </c>
      <c r="AG24" s="51">
        <v>11550</v>
      </c>
      <c r="AH24" s="51">
        <v>26604</v>
      </c>
      <c r="AI24" s="51">
        <v>88000</v>
      </c>
      <c r="AJ24" s="51">
        <v>22000</v>
      </c>
      <c r="AK24" s="51">
        <v>20625</v>
      </c>
      <c r="AL24" s="51">
        <v>7650</v>
      </c>
      <c r="AM24" s="59">
        <v>18802</v>
      </c>
      <c r="AN24" s="51">
        <f t="shared" si="11"/>
        <v>381977.35599999997</v>
      </c>
      <c r="AO24" s="72">
        <v>226695</v>
      </c>
      <c r="AP24" s="51">
        <v>70000</v>
      </c>
      <c r="AQ24" s="51">
        <f t="shared" si="12"/>
        <v>296695</v>
      </c>
    </row>
    <row r="25" spans="1:43" x14ac:dyDescent="0.3">
      <c r="B25" s="61" t="s">
        <v>65</v>
      </c>
      <c r="C25" s="24" t="s">
        <v>62</v>
      </c>
      <c r="D25" s="24" t="s">
        <v>46</v>
      </c>
      <c r="E25" s="25">
        <f>156*2</f>
        <v>312</v>
      </c>
      <c r="F25" s="24">
        <f t="shared" si="0"/>
        <v>156</v>
      </c>
      <c r="G25" s="24">
        <f t="shared" si="1"/>
        <v>312</v>
      </c>
      <c r="H25" s="24">
        <f>_xlfn.XLOOKUP(B25,'[1]Baseline 2025'!$B:$B,'[1]Baseline 2025'!$C:$C)</f>
        <v>8818</v>
      </c>
      <c r="I25" s="24">
        <f t="shared" si="2"/>
        <v>2751216</v>
      </c>
      <c r="J25" s="24" t="str">
        <f>_xlfn.XLOOKUP(B25,'[1]Baseline 2025'!$B:$B,'[1]Baseline 2025'!$E:$E)</f>
        <v>Long Haul</v>
      </c>
      <c r="K25" s="24">
        <f>_xlfn.XLOOKUP(B25,'[1]Baseline 2025'!$B:$B,'[1]Baseline 2025'!$I:$I)/100</f>
        <v>204140.22719999999</v>
      </c>
      <c r="L25" s="24">
        <f t="shared" si="3"/>
        <v>20414022.719999999</v>
      </c>
      <c r="M25" s="24">
        <v>3.84</v>
      </c>
      <c r="N25" s="24">
        <f t="shared" si="4"/>
        <v>78389.847244799981</v>
      </c>
      <c r="O25" s="28">
        <f t="shared" si="5"/>
        <v>1.2E-2</v>
      </c>
      <c r="P25" s="106">
        <f t="shared" si="6"/>
        <v>244.96827263999998</v>
      </c>
      <c r="Q25" s="105">
        <f t="shared" si="7"/>
        <v>1.1999999999999999E-3</v>
      </c>
      <c r="R25" s="106">
        <f t="shared" si="8"/>
        <v>24.496827263999997</v>
      </c>
      <c r="S25">
        <v>300</v>
      </c>
      <c r="T25">
        <f>G25*S25*assumptions!$D$6</f>
        <v>79560</v>
      </c>
      <c r="U25">
        <v>20</v>
      </c>
      <c r="V25" s="57">
        <v>0.46527777777777779</v>
      </c>
      <c r="W25" s="48">
        <v>65429.56</v>
      </c>
      <c r="X25" s="48">
        <f t="shared" si="9"/>
        <v>63466.673199999997</v>
      </c>
      <c r="Y25" s="51">
        <f>X25*assumptions!$C$7</f>
        <v>82506.675159999999</v>
      </c>
      <c r="Z25" s="48">
        <f t="shared" si="10"/>
        <v>1962.8867999999998</v>
      </c>
      <c r="AA25" s="102">
        <f>Z25*assumptions!$D$8</f>
        <v>2551.7528399999997</v>
      </c>
      <c r="AB25" s="70">
        <v>896</v>
      </c>
      <c r="AC25">
        <v>3</v>
      </c>
      <c r="AD25">
        <v>12</v>
      </c>
      <c r="AE25" s="49">
        <v>3.5</v>
      </c>
      <c r="AF25" s="51">
        <v>100260</v>
      </c>
      <c r="AG25" s="51">
        <v>11718</v>
      </c>
      <c r="AH25" s="51">
        <v>26502</v>
      </c>
      <c r="AI25" s="51">
        <v>89280</v>
      </c>
      <c r="AJ25" s="51">
        <v>22320</v>
      </c>
      <c r="AK25" s="51">
        <v>20925</v>
      </c>
      <c r="AL25" s="51">
        <v>7650</v>
      </c>
      <c r="AM25" s="59">
        <v>18895</v>
      </c>
      <c r="AN25" s="51">
        <f t="shared" si="11"/>
        <v>382608.42799999996</v>
      </c>
      <c r="AO25" s="72">
        <v>228480</v>
      </c>
      <c r="AP25" s="51">
        <v>70000</v>
      </c>
      <c r="AQ25" s="51">
        <f t="shared" si="12"/>
        <v>298480</v>
      </c>
    </row>
    <row r="26" spans="1:43" x14ac:dyDescent="0.3">
      <c r="B26" s="61" t="s">
        <v>66</v>
      </c>
      <c r="C26" s="24" t="s">
        <v>62</v>
      </c>
      <c r="D26" s="24" t="s">
        <v>46</v>
      </c>
      <c r="E26" s="25">
        <f>156*2</f>
        <v>312</v>
      </c>
      <c r="F26" s="24">
        <f t="shared" si="0"/>
        <v>156</v>
      </c>
      <c r="G26" s="24">
        <f t="shared" si="1"/>
        <v>312</v>
      </c>
      <c r="H26" s="24">
        <f>_xlfn.XLOOKUP(B26,'[1]Baseline 2025'!$B:$B,'[1]Baseline 2025'!$C:$C)</f>
        <v>9220</v>
      </c>
      <c r="I26" s="24">
        <f t="shared" si="2"/>
        <v>2876640</v>
      </c>
      <c r="J26" s="24" t="str">
        <f>_xlfn.XLOOKUP(B26,'[1]Baseline 2025'!$B:$B,'[1]Baseline 2025'!$E:$E)</f>
        <v>Long Haul</v>
      </c>
      <c r="K26" s="24">
        <f>_xlfn.XLOOKUP(B26,'[1]Baseline 2025'!$B:$B,'[1]Baseline 2025'!$I:$I)/100</f>
        <v>213446.68799999997</v>
      </c>
      <c r="L26" s="24">
        <f t="shared" si="3"/>
        <v>21344668.799999997</v>
      </c>
      <c r="M26" s="24">
        <v>3.84</v>
      </c>
      <c r="N26" s="24">
        <f t="shared" si="4"/>
        <v>81963.528191999983</v>
      </c>
      <c r="O26" s="28">
        <f t="shared" si="5"/>
        <v>1.2E-2</v>
      </c>
      <c r="P26" s="106">
        <f t="shared" si="6"/>
        <v>256.13602559999998</v>
      </c>
      <c r="Q26" s="105">
        <f t="shared" si="7"/>
        <v>1.1999999999999999E-3</v>
      </c>
      <c r="R26" s="106">
        <f t="shared" si="8"/>
        <v>25.613602559999997</v>
      </c>
      <c r="S26">
        <v>300</v>
      </c>
      <c r="T26">
        <f>G26*S26*assumptions!$D$6</f>
        <v>79560</v>
      </c>
      <c r="U26">
        <v>20</v>
      </c>
      <c r="V26" s="57">
        <v>0.47916666666666669</v>
      </c>
      <c r="W26" s="48">
        <v>68412.399999999994</v>
      </c>
      <c r="X26" s="48">
        <f t="shared" si="9"/>
        <v>66360.027999999991</v>
      </c>
      <c r="Y26" s="51">
        <f>X26*assumptions!$C$7</f>
        <v>86268.036399999997</v>
      </c>
      <c r="Z26" s="48">
        <f t="shared" si="10"/>
        <v>2052.3719999999998</v>
      </c>
      <c r="AA26" s="102">
        <f>Z26*assumptions!$D$8</f>
        <v>2668.0835999999999</v>
      </c>
      <c r="AB26" s="70">
        <v>935</v>
      </c>
      <c r="AC26">
        <v>3</v>
      </c>
      <c r="AD26">
        <v>12</v>
      </c>
      <c r="AE26" s="49">
        <v>3.5</v>
      </c>
      <c r="AF26" s="51">
        <v>104830</v>
      </c>
      <c r="AG26" s="51">
        <v>12075</v>
      </c>
      <c r="AH26" s="51">
        <v>27105</v>
      </c>
      <c r="AI26" s="51">
        <v>92000</v>
      </c>
      <c r="AJ26" s="51">
        <v>23000</v>
      </c>
      <c r="AK26" s="51">
        <v>21563</v>
      </c>
      <c r="AL26" s="51">
        <v>7650</v>
      </c>
      <c r="AM26" s="59">
        <v>19533</v>
      </c>
      <c r="AN26" s="51">
        <f t="shared" si="11"/>
        <v>396692.12</v>
      </c>
      <c r="AO26" s="72">
        <v>238425</v>
      </c>
      <c r="AP26" s="51">
        <v>70000</v>
      </c>
      <c r="AQ26" s="51">
        <f t="shared" si="12"/>
        <v>308425</v>
      </c>
    </row>
    <row r="27" spans="1:43" x14ac:dyDescent="0.3">
      <c r="B27" s="61" t="s">
        <v>67</v>
      </c>
      <c r="C27" s="24" t="s">
        <v>62</v>
      </c>
      <c r="D27" s="24" t="s">
        <v>46</v>
      </c>
      <c r="E27" s="25">
        <f>52*2</f>
        <v>104</v>
      </c>
      <c r="F27" s="24">
        <f t="shared" si="0"/>
        <v>52</v>
      </c>
      <c r="G27" s="24">
        <f t="shared" si="1"/>
        <v>104</v>
      </c>
      <c r="H27" s="24">
        <f>_xlfn.XLOOKUP(B27,'[1]Baseline 2025'!$B:$B,'[1]Baseline 2025'!$C:$C)</f>
        <v>9536</v>
      </c>
      <c r="I27" s="24">
        <f t="shared" si="2"/>
        <v>991744</v>
      </c>
      <c r="J27" s="24" t="str">
        <f>_xlfn.XLOOKUP(B27,'[1]Baseline 2025'!$B:$B,'[1]Baseline 2025'!$E:$E)</f>
        <v>Long Haul</v>
      </c>
      <c r="K27" s="24">
        <f>_xlfn.XLOOKUP(B27,'[1]Baseline 2025'!$B:$B,'[1]Baseline 2025'!$I:$I)/100</f>
        <v>73587.404799999989</v>
      </c>
      <c r="L27" s="24">
        <f t="shared" si="3"/>
        <v>7358740.4799999986</v>
      </c>
      <c r="M27" s="24">
        <v>3.84</v>
      </c>
      <c r="N27" s="24">
        <f t="shared" si="4"/>
        <v>28257.563443199993</v>
      </c>
      <c r="O27" s="28">
        <f t="shared" si="5"/>
        <v>1.2E-2</v>
      </c>
      <c r="P27" s="106">
        <f t="shared" si="6"/>
        <v>88.304885759999991</v>
      </c>
      <c r="Q27" s="105">
        <f t="shared" si="7"/>
        <v>1.1999999999999999E-3</v>
      </c>
      <c r="R27" s="106">
        <f t="shared" si="8"/>
        <v>8.8304885759999987</v>
      </c>
      <c r="S27">
        <v>300</v>
      </c>
      <c r="T27">
        <f>G27*S27*assumptions!$D$6</f>
        <v>26520</v>
      </c>
      <c r="U27">
        <v>20</v>
      </c>
      <c r="V27" s="57">
        <v>0.5</v>
      </c>
      <c r="W27" s="48">
        <v>70757.119999999995</v>
      </c>
      <c r="X27" s="48">
        <f t="shared" si="9"/>
        <v>68634.406399999993</v>
      </c>
      <c r="Y27" s="51">
        <f>X27*assumptions!$C$7</f>
        <v>89224.728319999995</v>
      </c>
      <c r="Z27" s="48">
        <f t="shared" si="10"/>
        <v>2122.7135999999996</v>
      </c>
      <c r="AA27" s="102">
        <f>Z27*assumptions!$D$8</f>
        <v>2759.5276799999997</v>
      </c>
      <c r="AB27" s="70">
        <v>979</v>
      </c>
      <c r="AC27">
        <v>3</v>
      </c>
      <c r="AD27">
        <v>12</v>
      </c>
      <c r="AE27" s="49">
        <v>3.5</v>
      </c>
      <c r="AF27" s="51">
        <v>108422</v>
      </c>
      <c r="AG27" s="51">
        <v>12600</v>
      </c>
      <c r="AH27" s="51">
        <v>27579</v>
      </c>
      <c r="AI27" s="51">
        <v>96000</v>
      </c>
      <c r="AJ27" s="51">
        <v>24000</v>
      </c>
      <c r="AK27" s="51">
        <v>22500</v>
      </c>
      <c r="AL27" s="51">
        <v>7650</v>
      </c>
      <c r="AM27" s="59">
        <v>20249</v>
      </c>
      <c r="AN27" s="51">
        <f t="shared" si="11"/>
        <v>410984.25599999999</v>
      </c>
      <c r="AO27" s="72">
        <v>249645</v>
      </c>
      <c r="AP27" s="51">
        <v>70000</v>
      </c>
      <c r="AQ27" s="51">
        <f t="shared" si="12"/>
        <v>319645</v>
      </c>
    </row>
    <row r="28" spans="1:43" x14ac:dyDescent="0.3">
      <c r="B28" s="61" t="s">
        <v>68</v>
      </c>
      <c r="C28" s="24" t="s">
        <v>62</v>
      </c>
      <c r="D28" s="24" t="s">
        <v>46</v>
      </c>
      <c r="E28" s="25">
        <f>156*2</f>
        <v>312</v>
      </c>
      <c r="F28" s="24">
        <f t="shared" si="0"/>
        <v>156</v>
      </c>
      <c r="G28" s="24">
        <f t="shared" si="1"/>
        <v>312</v>
      </c>
      <c r="H28" s="24">
        <f>_xlfn.XLOOKUP(B28,'[1]Baseline 2025'!$B:$B,'[1]Baseline 2025'!$C:$C)</f>
        <v>9652</v>
      </c>
      <c r="I28" s="24">
        <f t="shared" si="2"/>
        <v>3011424</v>
      </c>
      <c r="J28" s="24" t="str">
        <f>_xlfn.XLOOKUP(B28,'[1]Baseline 2025'!$B:$B,'[1]Baseline 2025'!$E:$E)</f>
        <v>Long Haul</v>
      </c>
      <c r="K28" s="24">
        <f>_xlfn.XLOOKUP(B28,'[1]Baseline 2025'!$B:$B,'[1]Baseline 2025'!$I:$I)/100</f>
        <v>223447.66079999998</v>
      </c>
      <c r="L28" s="24">
        <f t="shared" si="3"/>
        <v>22344766.079999998</v>
      </c>
      <c r="M28" s="24">
        <v>3.84</v>
      </c>
      <c r="N28" s="24">
        <f t="shared" si="4"/>
        <v>85803.901747199998</v>
      </c>
      <c r="O28" s="28">
        <f t="shared" si="5"/>
        <v>1.2E-2</v>
      </c>
      <c r="P28" s="106">
        <f t="shared" si="6"/>
        <v>268.13719295999994</v>
      </c>
      <c r="Q28" s="105">
        <f t="shared" si="7"/>
        <v>1.1999999999999999E-3</v>
      </c>
      <c r="R28" s="106">
        <f t="shared" si="8"/>
        <v>26.813719295999995</v>
      </c>
      <c r="S28">
        <v>300</v>
      </c>
      <c r="T28">
        <f>G28*S28*assumptions!$D$6</f>
        <v>79560</v>
      </c>
      <c r="U28">
        <v>20</v>
      </c>
      <c r="V28" s="57">
        <v>0.47222222222222221</v>
      </c>
      <c r="W28" s="48">
        <v>71617.84</v>
      </c>
      <c r="X28" s="48">
        <f t="shared" si="9"/>
        <v>69469.304799999998</v>
      </c>
      <c r="Y28" s="51">
        <f>X28*assumptions!$C$7</f>
        <v>90310.096239999999</v>
      </c>
      <c r="Z28" s="48">
        <f t="shared" si="10"/>
        <v>2148.5351999999998</v>
      </c>
      <c r="AA28" s="102">
        <f>Z28*assumptions!$D$8</f>
        <v>2793.0957599999997</v>
      </c>
      <c r="AB28" s="70">
        <v>946</v>
      </c>
      <c r="AC28">
        <v>3</v>
      </c>
      <c r="AD28">
        <v>12</v>
      </c>
      <c r="AE28" s="49">
        <v>3.5</v>
      </c>
      <c r="AF28" s="51">
        <v>109741</v>
      </c>
      <c r="AG28" s="51">
        <v>11896.5</v>
      </c>
      <c r="AH28" s="51">
        <v>27753</v>
      </c>
      <c r="AI28" s="51">
        <v>90640</v>
      </c>
      <c r="AJ28" s="51">
        <v>22660</v>
      </c>
      <c r="AK28" s="51">
        <v>21244</v>
      </c>
      <c r="AL28" s="51">
        <v>7650</v>
      </c>
      <c r="AM28" s="59">
        <v>19723</v>
      </c>
      <c r="AN28" s="51">
        <f t="shared" si="11"/>
        <v>404410.69199999998</v>
      </c>
      <c r="AO28" s="59">
        <v>241230</v>
      </c>
      <c r="AP28" s="51">
        <v>70000</v>
      </c>
      <c r="AQ28" s="51">
        <f t="shared" si="12"/>
        <v>311230</v>
      </c>
    </row>
    <row r="29" spans="1:43" x14ac:dyDescent="0.3">
      <c r="N29" s="26">
        <f>SUM(N7:N28)</f>
        <v>631234.42636799999</v>
      </c>
      <c r="O29" s="26"/>
      <c r="P29" s="108">
        <f>SUM(P7:P28)</f>
        <v>1972.6075824</v>
      </c>
      <c r="Q29" s="108"/>
      <c r="R29" s="108">
        <f>SUM(R7:R28)</f>
        <v>197.26075823999997</v>
      </c>
    </row>
    <row r="31" spans="1:43" x14ac:dyDescent="0.3">
      <c r="A31" t="s">
        <v>69</v>
      </c>
      <c r="D31" t="s">
        <v>70</v>
      </c>
      <c r="F31" t="s">
        <v>71</v>
      </c>
      <c r="Z31" s="20"/>
    </row>
    <row r="32" spans="1:43" x14ac:dyDescent="0.3">
      <c r="A32">
        <f t="shared" ref="A32:A53" si="14">(E7*W7)/1000</f>
        <v>4309.5488800000003</v>
      </c>
      <c r="D32" s="51">
        <f t="shared" ref="D32:D53" si="15">E7*AN7</f>
        <v>42918965.544000007</v>
      </c>
      <c r="F32" s="51">
        <f t="shared" ref="F32:F53" si="16">E7*AQ7</f>
        <v>38416560</v>
      </c>
    </row>
    <row r="33" spans="1:6" x14ac:dyDescent="0.3">
      <c r="A33">
        <f t="shared" si="14"/>
        <v>3085.8828000000003</v>
      </c>
      <c r="D33" s="51">
        <f t="shared" si="15"/>
        <v>33100343.640000004</v>
      </c>
      <c r="F33" s="51">
        <f t="shared" si="16"/>
        <v>29931720</v>
      </c>
    </row>
    <row r="34" spans="1:6" x14ac:dyDescent="0.3">
      <c r="A34">
        <f t="shared" si="14"/>
        <v>3315.65416</v>
      </c>
      <c r="D34" s="51">
        <f t="shared" si="15"/>
        <v>36723458.407999992</v>
      </c>
      <c r="F34" s="51">
        <f t="shared" si="16"/>
        <v>33342400</v>
      </c>
    </row>
    <row r="35" spans="1:6" x14ac:dyDescent="0.3">
      <c r="A35">
        <f t="shared" si="14"/>
        <v>422.13808</v>
      </c>
      <c r="D35" s="51">
        <f t="shared" si="15"/>
        <v>12619758.423999999</v>
      </c>
      <c r="F35" s="51">
        <f t="shared" si="16"/>
        <v>30093700</v>
      </c>
    </row>
    <row r="36" spans="1:6" x14ac:dyDescent="0.3">
      <c r="A36">
        <f t="shared" si="14"/>
        <v>1498.85736</v>
      </c>
      <c r="D36" s="51">
        <f t="shared" si="15"/>
        <v>21973246.568</v>
      </c>
      <c r="F36" s="51">
        <f t="shared" si="16"/>
        <v>30557800</v>
      </c>
    </row>
    <row r="37" spans="1:6" x14ac:dyDescent="0.3">
      <c r="A37">
        <f t="shared" si="14"/>
        <v>533.01612</v>
      </c>
      <c r="D37" s="51">
        <f t="shared" si="15"/>
        <v>10287050.956</v>
      </c>
      <c r="F37" s="51">
        <f t="shared" si="16"/>
        <v>14814800</v>
      </c>
    </row>
    <row r="38" spans="1:6" x14ac:dyDescent="0.3">
      <c r="A38">
        <f t="shared" si="14"/>
        <v>1005.9176399999999</v>
      </c>
      <c r="D38" s="51">
        <f t="shared" si="15"/>
        <v>13318964.932</v>
      </c>
      <c r="F38" s="51">
        <f t="shared" si="16"/>
        <v>16207100</v>
      </c>
    </row>
    <row r="39" spans="1:6" x14ac:dyDescent="0.3">
      <c r="A39">
        <f t="shared" si="14"/>
        <v>2631.6836000000003</v>
      </c>
      <c r="D39" s="51">
        <f t="shared" si="15"/>
        <v>24532096.68</v>
      </c>
      <c r="F39" s="51">
        <f t="shared" si="16"/>
        <v>21621600</v>
      </c>
    </row>
    <row r="40" spans="1:6" x14ac:dyDescent="0.3">
      <c r="A40">
        <f t="shared" si="14"/>
        <v>2468.70624</v>
      </c>
      <c r="D40" s="51">
        <f t="shared" si="15"/>
        <v>24703887.572000001</v>
      </c>
      <c r="F40" s="51">
        <f t="shared" si="16"/>
        <v>22054760</v>
      </c>
    </row>
    <row r="41" spans="1:6" x14ac:dyDescent="0.3">
      <c r="A41">
        <f t="shared" si="14"/>
        <v>888.36019999999996</v>
      </c>
      <c r="D41" s="51">
        <f t="shared" si="15"/>
        <v>12248860.259999998</v>
      </c>
      <c r="F41" s="51">
        <f t="shared" si="16"/>
        <v>15394925</v>
      </c>
    </row>
    <row r="42" spans="1:6" x14ac:dyDescent="0.3">
      <c r="A42">
        <f t="shared" si="14"/>
        <v>1283.7806799999998</v>
      </c>
      <c r="D42" s="51">
        <f t="shared" si="15"/>
        <v>14598376.884</v>
      </c>
      <c r="F42" s="51">
        <f t="shared" si="16"/>
        <v>15510950</v>
      </c>
    </row>
    <row r="43" spans="1:6" x14ac:dyDescent="0.3">
      <c r="A43">
        <f t="shared" si="14"/>
        <v>1904.9648800000002</v>
      </c>
      <c r="D43" s="51">
        <f t="shared" si="15"/>
        <v>19581906.343999997</v>
      </c>
      <c r="F43" s="51">
        <f t="shared" si="16"/>
        <v>17831450</v>
      </c>
    </row>
    <row r="44" spans="1:6" x14ac:dyDescent="0.3">
      <c r="A44">
        <f t="shared" si="14"/>
        <v>1285.1165600000002</v>
      </c>
      <c r="D44" s="51">
        <f t="shared" si="15"/>
        <v>14603025.527999999</v>
      </c>
      <c r="F44" s="51">
        <f t="shared" si="16"/>
        <v>15766205</v>
      </c>
    </row>
    <row r="45" spans="1:6" x14ac:dyDescent="0.3">
      <c r="A45">
        <f t="shared" si="14"/>
        <v>1476.1473999999998</v>
      </c>
      <c r="D45" s="51">
        <f t="shared" si="15"/>
        <v>16091155.08</v>
      </c>
      <c r="F45" s="51">
        <f t="shared" si="16"/>
        <v>15928640</v>
      </c>
    </row>
    <row r="46" spans="1:6" x14ac:dyDescent="0.3">
      <c r="A46">
        <f t="shared" si="14"/>
        <v>3222.1425599999998</v>
      </c>
      <c r="D46" s="51">
        <f t="shared" si="15"/>
        <v>46199503.168000005</v>
      </c>
      <c r="F46" s="51">
        <f t="shared" si="16"/>
        <v>61579700</v>
      </c>
    </row>
    <row r="47" spans="1:6" x14ac:dyDescent="0.3">
      <c r="A47">
        <f t="shared" si="14"/>
        <v>21337.723679999999</v>
      </c>
      <c r="D47" s="51">
        <f t="shared" si="15"/>
        <v>122665820.78399999</v>
      </c>
      <c r="F47" s="51">
        <f t="shared" si="16"/>
        <v>95035200</v>
      </c>
    </row>
    <row r="48" spans="1:6" x14ac:dyDescent="0.3">
      <c r="A48">
        <f t="shared" si="14"/>
        <v>21495.146399999998</v>
      </c>
      <c r="D48" s="51">
        <f t="shared" si="15"/>
        <v>123160630.31999999</v>
      </c>
      <c r="F48" s="51">
        <f t="shared" si="16"/>
        <v>95353440</v>
      </c>
    </row>
    <row r="49" spans="1:6" x14ac:dyDescent="0.3">
      <c r="A49">
        <f t="shared" si="14"/>
        <v>6857.1484799999998</v>
      </c>
      <c r="D49" s="51">
        <f t="shared" si="15"/>
        <v>39725645.023999996</v>
      </c>
      <c r="F49" s="51">
        <f t="shared" si="16"/>
        <v>30856280</v>
      </c>
    </row>
    <row r="50" spans="1:6" x14ac:dyDescent="0.3">
      <c r="A50">
        <f t="shared" si="14"/>
        <v>20414.022719999997</v>
      </c>
      <c r="D50" s="51">
        <f t="shared" si="15"/>
        <v>119373829.53599998</v>
      </c>
      <c r="F50" s="51">
        <f t="shared" si="16"/>
        <v>93125760</v>
      </c>
    </row>
    <row r="51" spans="1:6" x14ac:dyDescent="0.3">
      <c r="A51">
        <f t="shared" si="14"/>
        <v>21344.668799999996</v>
      </c>
      <c r="D51" s="51">
        <f t="shared" si="15"/>
        <v>123767941.44</v>
      </c>
      <c r="F51" s="51">
        <f t="shared" si="16"/>
        <v>96228600</v>
      </c>
    </row>
    <row r="52" spans="1:6" x14ac:dyDescent="0.3">
      <c r="A52">
        <f t="shared" si="14"/>
        <v>7358.7404799999995</v>
      </c>
      <c r="D52" s="51">
        <f t="shared" si="15"/>
        <v>42742362.623999998</v>
      </c>
      <c r="F52" s="51">
        <f t="shared" si="16"/>
        <v>33243080</v>
      </c>
    </row>
    <row r="53" spans="1:6" x14ac:dyDescent="0.3">
      <c r="A53">
        <f t="shared" si="14"/>
        <v>22344.766079999998</v>
      </c>
      <c r="D53" s="51">
        <f t="shared" si="15"/>
        <v>126176135.904</v>
      </c>
      <c r="F53" s="51">
        <f t="shared" si="16"/>
        <v>97103760</v>
      </c>
    </row>
    <row r="55" spans="1:6" x14ac:dyDescent="0.3">
      <c r="A55" t="s">
        <v>72</v>
      </c>
      <c r="D55" t="s">
        <v>72</v>
      </c>
      <c r="F55" t="s">
        <v>72</v>
      </c>
    </row>
    <row r="56" spans="1:6" x14ac:dyDescent="0.3">
      <c r="A56">
        <f>SUM(A32:A53)</f>
        <v>150484.13379999998</v>
      </c>
      <c r="D56" s="51">
        <f>SUM(D32:D53)</f>
        <v>1041112965.62</v>
      </c>
      <c r="F56" s="51">
        <f>SUM(F32:F53)</f>
        <v>919998430</v>
      </c>
    </row>
  </sheetData>
  <mergeCells count="1">
    <mergeCell ref="A4:N4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8DE8-47E5-4F48-8E28-78C63FE3BE4B}">
  <sheetPr>
    <tabColor theme="9"/>
  </sheetPr>
  <dimension ref="A4:AN55"/>
  <sheetViews>
    <sheetView topLeftCell="A6" zoomScale="70" zoomScaleNormal="80" workbookViewId="0">
      <selection activeCell="P7" sqref="P7"/>
    </sheetView>
  </sheetViews>
  <sheetFormatPr defaultRowHeight="14.4" x14ac:dyDescent="0.3"/>
  <cols>
    <col min="10" max="10" width="10" bestFit="1" customWidth="1"/>
    <col min="12" max="12" width="11" bestFit="1" customWidth="1"/>
    <col min="13" max="14" width="9" bestFit="1" customWidth="1"/>
    <col min="15" max="18" width="9" customWidth="1"/>
    <col min="19" max="19" width="9" bestFit="1" customWidth="1"/>
    <col min="20" max="20" width="9" customWidth="1"/>
    <col min="21" max="22" width="9" bestFit="1" customWidth="1"/>
    <col min="23" max="23" width="10" bestFit="1" customWidth="1"/>
    <col min="24" max="24" width="15.33203125" bestFit="1" customWidth="1"/>
    <col min="25" max="26" width="12.5546875" bestFit="1" customWidth="1"/>
    <col min="27" max="27" width="10.44140625" bestFit="1" customWidth="1"/>
    <col min="28" max="28" width="9" bestFit="1" customWidth="1"/>
    <col min="29" max="30" width="14.33203125" bestFit="1" customWidth="1"/>
    <col min="31" max="31" width="15.33203125" bestFit="1" customWidth="1"/>
    <col min="32" max="32" width="14.33203125" bestFit="1" customWidth="1"/>
    <col min="33" max="33" width="11.44140625" bestFit="1" customWidth="1"/>
    <col min="34" max="34" width="14.33203125" bestFit="1" customWidth="1"/>
    <col min="35" max="35" width="12.33203125" bestFit="1" customWidth="1"/>
    <col min="36" max="36" width="12.5546875" bestFit="1" customWidth="1"/>
    <col min="37" max="37" width="12.33203125" bestFit="1" customWidth="1"/>
    <col min="38" max="38" width="12.44140625" bestFit="1" customWidth="1"/>
    <col min="39" max="39" width="10.5546875" bestFit="1" customWidth="1"/>
  </cols>
  <sheetData>
    <row r="4" spans="1:40" ht="25.8" x14ac:dyDescent="0.5">
      <c r="A4" s="111" t="s">
        <v>74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01"/>
      <c r="P4" s="101"/>
      <c r="Q4" s="101"/>
      <c r="R4" s="101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</row>
    <row r="5" spans="1:40" ht="25.8" x14ac:dyDescent="0.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44"/>
      <c r="T5" s="44"/>
      <c r="U5" s="44"/>
      <c r="V5" s="44"/>
      <c r="W5" s="44"/>
      <c r="X5" s="44"/>
      <c r="Y5" s="38" t="s">
        <v>1</v>
      </c>
      <c r="Z5" s="22"/>
      <c r="AA5" s="45"/>
      <c r="AB5" s="45"/>
      <c r="AC5" s="36"/>
      <c r="AD5" s="36"/>
      <c r="AE5" s="36"/>
      <c r="AF5" s="37" t="s">
        <v>2</v>
      </c>
      <c r="AG5" s="36"/>
      <c r="AH5" s="36"/>
      <c r="AI5" s="36"/>
      <c r="AJ5" s="36"/>
      <c r="AK5" s="39"/>
      <c r="AL5" s="40" t="s">
        <v>75</v>
      </c>
      <c r="AM5" s="39"/>
    </row>
    <row r="6" spans="1:40" ht="169.8" x14ac:dyDescent="0.3">
      <c r="B6" s="21" t="s">
        <v>4</v>
      </c>
      <c r="C6" s="21" t="s">
        <v>5</v>
      </c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1" t="s">
        <v>18</v>
      </c>
      <c r="Q6" s="21" t="s">
        <v>19</v>
      </c>
      <c r="R6" s="21" t="s">
        <v>20</v>
      </c>
      <c r="S6" s="30" t="s">
        <v>21</v>
      </c>
      <c r="T6" s="30" t="s">
        <v>22</v>
      </c>
      <c r="U6" s="30" t="s">
        <v>23</v>
      </c>
      <c r="V6" s="30" t="s">
        <v>24</v>
      </c>
      <c r="W6" s="30" t="s">
        <v>25</v>
      </c>
      <c r="X6" s="30" t="s">
        <v>76</v>
      </c>
      <c r="Y6" s="32" t="s">
        <v>31</v>
      </c>
      <c r="Z6" s="32" t="s">
        <v>32</v>
      </c>
      <c r="AA6" s="33" t="s">
        <v>30</v>
      </c>
      <c r="AB6" s="33" t="s">
        <v>33</v>
      </c>
      <c r="AC6" s="31" t="s">
        <v>1</v>
      </c>
      <c r="AD6" s="31" t="s">
        <v>34</v>
      </c>
      <c r="AE6" s="31" t="s">
        <v>35</v>
      </c>
      <c r="AF6" s="31" t="s">
        <v>36</v>
      </c>
      <c r="AG6" s="31" t="s">
        <v>37</v>
      </c>
      <c r="AH6" s="31" t="s">
        <v>38</v>
      </c>
      <c r="AI6" s="31" t="s">
        <v>39</v>
      </c>
      <c r="AJ6" s="31" t="s">
        <v>40</v>
      </c>
      <c r="AK6" s="31" t="s">
        <v>77</v>
      </c>
      <c r="AL6" s="31" t="s">
        <v>78</v>
      </c>
      <c r="AM6" s="31" t="s">
        <v>79</v>
      </c>
      <c r="AN6" s="31" t="s">
        <v>80</v>
      </c>
    </row>
    <row r="7" spans="1:40" x14ac:dyDescent="0.3">
      <c r="B7" s="27" t="s">
        <v>44</v>
      </c>
      <c r="C7" s="28" t="s">
        <v>45</v>
      </c>
      <c r="D7" s="28" t="s">
        <v>46</v>
      </c>
      <c r="E7" s="29">
        <f>7*52*2</f>
        <v>728</v>
      </c>
      <c r="F7" s="28">
        <f>E7/2</f>
        <v>364</v>
      </c>
      <c r="G7" s="28">
        <f>E7</f>
        <v>728</v>
      </c>
      <c r="H7" s="28">
        <f>_xlfn.XLOOKUP(B7,'[1]Baseline 2025'!$B:$B,'[1]Baseline 2025'!$C:$C)</f>
        <v>1613</v>
      </c>
      <c r="I7" s="28">
        <f>E7*H7</f>
        <v>1174264</v>
      </c>
      <c r="J7" s="28" t="str">
        <f>_xlfn.XLOOKUP(B7,'[1]Baseline 2025'!$B:$B,'[1]Baseline 2025'!$E:$E)</f>
        <v>Short Haul</v>
      </c>
      <c r="K7" s="28">
        <f>_xlfn.XLOOKUP(B7,'[1]Baseline 2025'!$B:$B,'[1]Baseline 2025'!$I:$I)/100</f>
        <v>43095.488799999999</v>
      </c>
      <c r="L7" s="28">
        <f>K7*100</f>
        <v>4309548.88</v>
      </c>
      <c r="M7" s="28">
        <f t="shared" ref="M7:M28" si="0">1.3</f>
        <v>1.3</v>
      </c>
      <c r="N7" s="28">
        <f>(L7*M7)/1000</f>
        <v>5602.413544</v>
      </c>
      <c r="O7" s="28">
        <f t="shared" ref="O7:O28" si="1">9/1000</f>
        <v>8.9999999999999993E-3</v>
      </c>
      <c r="P7" s="106">
        <f t="shared" ref="P7:P28" si="2">(O7*L7)/1000</f>
        <v>38.785939919999997</v>
      </c>
      <c r="Q7" s="105">
        <f t="shared" ref="Q7:Q28" si="3">0.03/1000</f>
        <v>2.9999999999999997E-5</v>
      </c>
      <c r="R7" s="106">
        <f t="shared" ref="R7:R28" si="4">Q7*L7/1000</f>
        <v>0.12928646639999999</v>
      </c>
      <c r="S7">
        <v>100</v>
      </c>
      <c r="T7">
        <f>G7*S7*assumptions!$D$6</f>
        <v>61880</v>
      </c>
      <c r="U7">
        <v>10.9</v>
      </c>
      <c r="V7" s="57">
        <v>0.1111111111111111</v>
      </c>
      <c r="W7" s="48">
        <v>5919.71</v>
      </c>
      <c r="X7" s="51">
        <f>W7*assumptions!$C$8</f>
        <v>10655.478000000001</v>
      </c>
      <c r="Y7">
        <v>2</v>
      </c>
      <c r="Z7">
        <v>3</v>
      </c>
      <c r="AA7" s="58">
        <v>210</v>
      </c>
      <c r="AB7" s="49">
        <v>3.5</v>
      </c>
      <c r="AC7" s="51">
        <v>1201.5</v>
      </c>
      <c r="AD7" s="51">
        <v>6845</v>
      </c>
      <c r="AE7" s="51">
        <v>21360</v>
      </c>
      <c r="AF7" s="51">
        <v>5340</v>
      </c>
      <c r="AG7" s="51">
        <v>1669</v>
      </c>
      <c r="AH7" s="51">
        <v>2550</v>
      </c>
      <c r="AI7" s="51">
        <v>3546</v>
      </c>
      <c r="AJ7" s="51">
        <f>X7+AC7+AD7+AE7+AF7+AG7+AH7+AI7</f>
        <v>53166.978000000003</v>
      </c>
      <c r="AK7" s="51">
        <v>17850</v>
      </c>
      <c r="AL7" s="51">
        <v>38150</v>
      </c>
      <c r="AM7" s="51">
        <f t="shared" ref="AM7:AM21" si="5">AK7+AL7</f>
        <v>56000</v>
      </c>
      <c r="AN7" s="5">
        <f>(AM7/AJ7)-1</f>
        <v>5.3285368222357743E-2</v>
      </c>
    </row>
    <row r="8" spans="1:40" x14ac:dyDescent="0.3">
      <c r="B8" s="27" t="s">
        <v>47</v>
      </c>
      <c r="C8" s="28" t="s">
        <v>45</v>
      </c>
      <c r="D8" s="28" t="s">
        <v>46</v>
      </c>
      <c r="E8" s="29">
        <f t="shared" ref="E8:E9" si="6">7*52*2</f>
        <v>728</v>
      </c>
      <c r="F8" s="28">
        <f t="shared" ref="F8:F28" si="7">E8/2</f>
        <v>364</v>
      </c>
      <c r="G8" s="28">
        <f t="shared" ref="G8:G28" si="8">E8</f>
        <v>728</v>
      </c>
      <c r="H8" s="28">
        <f>_xlfn.XLOOKUP(B8,'[1]Baseline 2025'!$B:$B,'[1]Baseline 2025'!$C:$C)</f>
        <v>1155</v>
      </c>
      <c r="I8" s="28">
        <f t="shared" ref="I8:I28" si="9">E8*H8</f>
        <v>840840</v>
      </c>
      <c r="J8" s="28" t="str">
        <f>_xlfn.XLOOKUP(B8,'[1]Baseline 2025'!$B:$B,'[1]Baseline 2025'!$E:$E)</f>
        <v>Short Haul</v>
      </c>
      <c r="K8" s="28">
        <f>_xlfn.XLOOKUP(B8,'[1]Baseline 2025'!$B:$B,'[1]Baseline 2025'!$I:$I)/100</f>
        <v>30858.828000000001</v>
      </c>
      <c r="L8" s="28">
        <f t="shared" ref="L8:L28" si="10">K8*100</f>
        <v>3085882.8000000003</v>
      </c>
      <c r="M8" s="28">
        <f t="shared" si="0"/>
        <v>1.3</v>
      </c>
      <c r="N8" s="28">
        <f t="shared" ref="N8:N28" si="11">(L8*M8)/1000</f>
        <v>4011.6476400000006</v>
      </c>
      <c r="O8" s="28">
        <f t="shared" si="1"/>
        <v>8.9999999999999993E-3</v>
      </c>
      <c r="P8" s="106">
        <f t="shared" si="2"/>
        <v>27.772945200000002</v>
      </c>
      <c r="Q8" s="105">
        <f t="shared" si="3"/>
        <v>2.9999999999999997E-5</v>
      </c>
      <c r="R8" s="106">
        <f t="shared" si="4"/>
        <v>9.2576483999999987E-2</v>
      </c>
      <c r="S8">
        <v>100</v>
      </c>
      <c r="T8">
        <f>G8*S8*assumptions!$D$6</f>
        <v>61880</v>
      </c>
      <c r="U8">
        <v>10.9</v>
      </c>
      <c r="V8" s="57">
        <v>8.3333333333333329E-2</v>
      </c>
      <c r="W8" s="48">
        <v>4238.8500000000004</v>
      </c>
      <c r="X8" s="51">
        <f>W8*assumptions!$C$8</f>
        <v>7629.9300000000012</v>
      </c>
      <c r="Y8">
        <v>2</v>
      </c>
      <c r="Z8">
        <v>3</v>
      </c>
      <c r="AA8" s="58">
        <v>126</v>
      </c>
      <c r="AB8" s="49">
        <v>3</v>
      </c>
      <c r="AC8" s="51">
        <v>900</v>
      </c>
      <c r="AD8" s="51">
        <v>6150</v>
      </c>
      <c r="AE8" s="51">
        <v>16000</v>
      </c>
      <c r="AF8" s="51">
        <v>4000</v>
      </c>
      <c r="AG8" s="51">
        <v>1250</v>
      </c>
      <c r="AH8" s="51">
        <v>2550</v>
      </c>
      <c r="AI8" s="51">
        <v>2750</v>
      </c>
      <c r="AJ8" s="51">
        <f t="shared" ref="AJ8:AJ21" si="12">X8+AC8+AD8+AE8+AF8+AG8+AH8+AI8</f>
        <v>41229.93</v>
      </c>
      <c r="AK8" s="51">
        <v>10710</v>
      </c>
      <c r="AL8" s="51">
        <v>32700</v>
      </c>
      <c r="AM8" s="51">
        <f t="shared" si="5"/>
        <v>43410</v>
      </c>
      <c r="AN8" s="5">
        <f t="shared" ref="AN8:AN28" si="13">(AM8/AJ8)-1</f>
        <v>5.2875908351045053E-2</v>
      </c>
    </row>
    <row r="9" spans="1:40" x14ac:dyDescent="0.3">
      <c r="B9" s="27" t="s">
        <v>48</v>
      </c>
      <c r="C9" s="28" t="s">
        <v>45</v>
      </c>
      <c r="D9" s="28" t="s">
        <v>46</v>
      </c>
      <c r="E9" s="29">
        <f t="shared" si="6"/>
        <v>728</v>
      </c>
      <c r="F9" s="28">
        <f t="shared" si="7"/>
        <v>364</v>
      </c>
      <c r="G9" s="28">
        <f t="shared" si="8"/>
        <v>728</v>
      </c>
      <c r="H9" s="28">
        <f>_xlfn.XLOOKUP(B9,'[1]Baseline 2025'!$B:$B,'[1]Baseline 2025'!$C:$C)</f>
        <v>1241</v>
      </c>
      <c r="I9" s="28">
        <f t="shared" si="9"/>
        <v>903448</v>
      </c>
      <c r="J9" s="28" t="str">
        <f>_xlfn.XLOOKUP(B9,'[1]Baseline 2025'!$B:$B,'[1]Baseline 2025'!$E:$E)</f>
        <v>Short Haul</v>
      </c>
      <c r="K9" s="28">
        <f>_xlfn.XLOOKUP(B9,'[1]Baseline 2025'!$B:$B,'[1]Baseline 2025'!$I:$I)/100</f>
        <v>33156.541600000004</v>
      </c>
      <c r="L9" s="28">
        <f t="shared" si="10"/>
        <v>3315654.1600000006</v>
      </c>
      <c r="M9" s="28">
        <f t="shared" si="0"/>
        <v>1.3</v>
      </c>
      <c r="N9" s="28">
        <f t="shared" si="11"/>
        <v>4310.3504080000012</v>
      </c>
      <c r="O9" s="28">
        <f t="shared" si="1"/>
        <v>8.9999999999999993E-3</v>
      </c>
      <c r="P9" s="106">
        <f t="shared" si="2"/>
        <v>29.840887440000003</v>
      </c>
      <c r="Q9" s="105">
        <f t="shared" si="3"/>
        <v>2.9999999999999997E-5</v>
      </c>
      <c r="R9" s="106">
        <f t="shared" si="4"/>
        <v>9.9469624800000003E-2</v>
      </c>
      <c r="S9">
        <v>100</v>
      </c>
      <c r="T9">
        <f>G9*S9*assumptions!$D$6</f>
        <v>61880</v>
      </c>
      <c r="U9">
        <v>10.9</v>
      </c>
      <c r="V9" s="57">
        <v>9.7222222222222224E-2</v>
      </c>
      <c r="W9" s="48">
        <v>4554.47</v>
      </c>
      <c r="X9" s="51">
        <f>W9*assumptions!$C$8</f>
        <v>8198.0460000000003</v>
      </c>
      <c r="Y9">
        <v>2</v>
      </c>
      <c r="Z9">
        <v>3</v>
      </c>
      <c r="AA9" s="58">
        <v>120</v>
      </c>
      <c r="AB9" s="49">
        <v>3.5</v>
      </c>
      <c r="AC9" s="51">
        <v>1048.5</v>
      </c>
      <c r="AD9" s="51">
        <v>6287</v>
      </c>
      <c r="AE9" s="51">
        <v>18640</v>
      </c>
      <c r="AF9" s="51">
        <v>4660</v>
      </c>
      <c r="AG9" s="51">
        <v>1456</v>
      </c>
      <c r="AH9" s="51">
        <v>2550</v>
      </c>
      <c r="AI9" s="51">
        <v>3061</v>
      </c>
      <c r="AJ9" s="51">
        <f t="shared" si="12"/>
        <v>45900.546000000002</v>
      </c>
      <c r="AK9" s="51">
        <v>10200</v>
      </c>
      <c r="AL9" s="51">
        <v>38150</v>
      </c>
      <c r="AM9" s="51">
        <f t="shared" si="5"/>
        <v>48350</v>
      </c>
      <c r="AN9" s="5">
        <f t="shared" si="13"/>
        <v>5.3364376101321165E-2</v>
      </c>
    </row>
    <row r="10" spans="1:40" x14ac:dyDescent="0.3">
      <c r="B10" s="27" t="s">
        <v>49</v>
      </c>
      <c r="C10" s="28" t="s">
        <v>45</v>
      </c>
      <c r="D10" s="28" t="s">
        <v>46</v>
      </c>
      <c r="E10" s="29">
        <f>14*52</f>
        <v>728</v>
      </c>
      <c r="F10" s="28">
        <f t="shared" si="7"/>
        <v>364</v>
      </c>
      <c r="G10" s="28">
        <f t="shared" si="8"/>
        <v>728</v>
      </c>
      <c r="H10" s="28">
        <f>_xlfn.XLOOKUP(B10,'[1]Baseline 2025'!$B:$B,'[1]Baseline 2025'!$C:$C)</f>
        <v>158</v>
      </c>
      <c r="I10" s="28">
        <f t="shared" si="9"/>
        <v>115024</v>
      </c>
      <c r="J10" s="28" t="str">
        <f>_xlfn.XLOOKUP(B10,'[1]Baseline 2025'!$B:$B,'[1]Baseline 2025'!$E:$E)</f>
        <v>Short Haul</v>
      </c>
      <c r="K10" s="28">
        <f>_xlfn.XLOOKUP(B10,'[1]Baseline 2025'!$B:$B,'[1]Baseline 2025'!$I:$I)/100</f>
        <v>8442.7615999999998</v>
      </c>
      <c r="L10" s="28">
        <f t="shared" si="10"/>
        <v>844276.16</v>
      </c>
      <c r="M10" s="28">
        <f t="shared" si="0"/>
        <v>1.3</v>
      </c>
      <c r="N10" s="28">
        <f t="shared" si="11"/>
        <v>1097.5590080000002</v>
      </c>
      <c r="O10" s="28">
        <f t="shared" si="1"/>
        <v>8.9999999999999993E-3</v>
      </c>
      <c r="P10" s="106">
        <f t="shared" si="2"/>
        <v>7.5984854399999993</v>
      </c>
      <c r="Q10" s="105">
        <f t="shared" si="3"/>
        <v>2.9999999999999997E-5</v>
      </c>
      <c r="R10" s="106">
        <f t="shared" si="4"/>
        <v>2.53282848E-2</v>
      </c>
      <c r="S10">
        <v>100</v>
      </c>
      <c r="T10">
        <f>G10*S10*assumptions!$D$6</f>
        <v>61880</v>
      </c>
      <c r="U10">
        <v>10.9</v>
      </c>
      <c r="V10" s="57">
        <v>2.7777777777777776E-2</v>
      </c>
      <c r="W10" s="48">
        <v>579.86</v>
      </c>
      <c r="X10" s="51">
        <f>W10*assumptions!$C$8</f>
        <v>1043.748</v>
      </c>
      <c r="Y10">
        <v>2</v>
      </c>
      <c r="Z10">
        <v>3</v>
      </c>
      <c r="AA10" s="58">
        <v>50</v>
      </c>
      <c r="AB10" s="49">
        <v>3.5</v>
      </c>
      <c r="AC10" s="51">
        <v>297</v>
      </c>
      <c r="AD10" s="51">
        <v>4662</v>
      </c>
      <c r="AE10" s="51">
        <v>5280</v>
      </c>
      <c r="AF10" s="51">
        <v>1320</v>
      </c>
      <c r="AG10" s="51">
        <v>413</v>
      </c>
      <c r="AH10" s="51">
        <v>2550</v>
      </c>
      <c r="AI10" s="51">
        <v>1112</v>
      </c>
      <c r="AJ10" s="51">
        <f t="shared" si="12"/>
        <v>16677.748</v>
      </c>
      <c r="AK10" s="51">
        <v>4250</v>
      </c>
      <c r="AL10" s="51">
        <v>38150</v>
      </c>
      <c r="AM10" s="51">
        <f>AK10+AL10</f>
        <v>42400</v>
      </c>
      <c r="AN10" s="5">
        <v>0.60699999999999998</v>
      </c>
    </row>
    <row r="11" spans="1:40" x14ac:dyDescent="0.3">
      <c r="B11" s="27" t="s">
        <v>50</v>
      </c>
      <c r="C11" s="28" t="s">
        <v>45</v>
      </c>
      <c r="D11" s="28" t="s">
        <v>46</v>
      </c>
      <c r="E11" s="29">
        <f>7*52*2</f>
        <v>728</v>
      </c>
      <c r="F11" s="28">
        <f t="shared" si="7"/>
        <v>364</v>
      </c>
      <c r="G11" s="28">
        <f t="shared" si="8"/>
        <v>728</v>
      </c>
      <c r="H11" s="28">
        <f>_xlfn.XLOOKUP(B11,'[1]Baseline 2025'!$B:$B,'[1]Baseline 2025'!$C:$C)</f>
        <v>561</v>
      </c>
      <c r="I11" s="28">
        <f t="shared" si="9"/>
        <v>408408</v>
      </c>
      <c r="J11" s="28" t="str">
        <f>_xlfn.XLOOKUP(B11,'[1]Baseline 2025'!$B:$B,'[1]Baseline 2025'!$E:$E)</f>
        <v>Short Haul</v>
      </c>
      <c r="K11" s="28">
        <f>_xlfn.XLOOKUP(B11,'[1]Baseline 2025'!$B:$B,'[1]Baseline 2025'!$I:$I)/100</f>
        <v>14988.573600000002</v>
      </c>
      <c r="L11" s="28">
        <f t="shared" si="10"/>
        <v>1498857.36</v>
      </c>
      <c r="M11" s="28">
        <f t="shared" si="0"/>
        <v>1.3</v>
      </c>
      <c r="N11" s="28">
        <f t="shared" si="11"/>
        <v>1948.5145680000003</v>
      </c>
      <c r="O11" s="28">
        <f t="shared" si="1"/>
        <v>8.9999999999999993E-3</v>
      </c>
      <c r="P11" s="106">
        <f t="shared" si="2"/>
        <v>13.48971624</v>
      </c>
      <c r="Q11" s="105">
        <f t="shared" si="3"/>
        <v>2.9999999999999997E-5</v>
      </c>
      <c r="R11" s="106">
        <f t="shared" si="4"/>
        <v>4.4965720799999997E-2</v>
      </c>
      <c r="S11">
        <v>100</v>
      </c>
      <c r="T11">
        <f>G11*S11*assumptions!$D$6</f>
        <v>61880</v>
      </c>
      <c r="U11">
        <v>10.9</v>
      </c>
      <c r="V11" s="57">
        <v>5.5555555555555552E-2</v>
      </c>
      <c r="W11" s="48">
        <v>2058.87</v>
      </c>
      <c r="X11" s="51">
        <f>W11*assumptions!$C$8</f>
        <v>3705.9659999999999</v>
      </c>
      <c r="Y11">
        <v>2</v>
      </c>
      <c r="Z11">
        <v>3</v>
      </c>
      <c r="AA11" s="58">
        <v>60</v>
      </c>
      <c r="AB11" s="49">
        <v>3.5</v>
      </c>
      <c r="AC11" s="51">
        <v>598.5</v>
      </c>
      <c r="AD11" s="51">
        <v>5267</v>
      </c>
      <c r="AE11" s="51">
        <v>10640</v>
      </c>
      <c r="AF11" s="51">
        <v>2660</v>
      </c>
      <c r="AG11" s="51">
        <v>831</v>
      </c>
      <c r="AH11" s="51">
        <v>2550</v>
      </c>
      <c r="AI11" s="51">
        <v>1876</v>
      </c>
      <c r="AJ11" s="51">
        <f>X11+AC11+AD11+AE11+AF11+AG11+AH11+AI11</f>
        <v>28128.466</v>
      </c>
      <c r="AK11" s="51">
        <v>5100</v>
      </c>
      <c r="AL11" s="51">
        <v>38150</v>
      </c>
      <c r="AM11" s="51">
        <f t="shared" si="5"/>
        <v>43250</v>
      </c>
      <c r="AN11" s="5">
        <f t="shared" si="13"/>
        <v>0.53758829223036897</v>
      </c>
    </row>
    <row r="12" spans="1:40" x14ac:dyDescent="0.3">
      <c r="B12" s="27" t="s">
        <v>51</v>
      </c>
      <c r="C12" s="28" t="s">
        <v>45</v>
      </c>
      <c r="D12" s="28" t="s">
        <v>46</v>
      </c>
      <c r="E12" s="29">
        <f t="shared" ref="E12:E20" si="14">7*52</f>
        <v>364</v>
      </c>
      <c r="F12" s="28">
        <f t="shared" si="7"/>
        <v>182</v>
      </c>
      <c r="G12" s="28">
        <f t="shared" si="8"/>
        <v>364</v>
      </c>
      <c r="H12" s="28">
        <f>_xlfn.XLOOKUP(B12,'[1]Baseline 2025'!$B:$B,'[1]Baseline 2025'!$C:$C)</f>
        <v>399</v>
      </c>
      <c r="I12" s="28">
        <f t="shared" si="9"/>
        <v>145236</v>
      </c>
      <c r="J12" s="28" t="str">
        <f>_xlfn.XLOOKUP(B12,'[1]Baseline 2025'!$B:$B,'[1]Baseline 2025'!$E:$E)</f>
        <v>Short Haul</v>
      </c>
      <c r="K12" s="28">
        <f>_xlfn.XLOOKUP(B12,'[1]Baseline 2025'!$B:$B,'[1]Baseline 2025'!$I:$I)/100</f>
        <v>10660.322399999999</v>
      </c>
      <c r="L12" s="28">
        <f t="shared" si="10"/>
        <v>1066032.24</v>
      </c>
      <c r="M12" s="28">
        <f t="shared" si="0"/>
        <v>1.3</v>
      </c>
      <c r="N12" s="28">
        <f t="shared" si="11"/>
        <v>1385.8419120000001</v>
      </c>
      <c r="O12" s="28">
        <f t="shared" si="1"/>
        <v>8.9999999999999993E-3</v>
      </c>
      <c r="P12" s="106">
        <f t="shared" si="2"/>
        <v>9.5942901599999981</v>
      </c>
      <c r="Q12" s="105">
        <f t="shared" si="3"/>
        <v>2.9999999999999997E-5</v>
      </c>
      <c r="R12" s="106">
        <f t="shared" si="4"/>
        <v>3.1980967200000002E-2</v>
      </c>
      <c r="S12">
        <v>100</v>
      </c>
      <c r="T12">
        <f>G12*S12*assumptions!$D$6</f>
        <v>30940</v>
      </c>
      <c r="U12">
        <v>10.9</v>
      </c>
      <c r="V12" s="57">
        <v>5.5555555555555552E-2</v>
      </c>
      <c r="W12" s="48">
        <v>1464.33</v>
      </c>
      <c r="X12" s="51">
        <f>W12*assumptions!$C$8</f>
        <v>2635.7939999999999</v>
      </c>
      <c r="Y12">
        <v>2</v>
      </c>
      <c r="Z12">
        <v>3</v>
      </c>
      <c r="AA12" s="58">
        <v>60</v>
      </c>
      <c r="AB12" s="49">
        <v>3.5</v>
      </c>
      <c r="AC12" s="51">
        <v>598.5</v>
      </c>
      <c r="AD12" s="51">
        <v>5024</v>
      </c>
      <c r="AE12" s="51">
        <v>10640</v>
      </c>
      <c r="AF12" s="51">
        <v>2660</v>
      </c>
      <c r="AG12" s="51">
        <v>831</v>
      </c>
      <c r="AH12" s="51">
        <v>2550</v>
      </c>
      <c r="AI12" s="51">
        <v>1781</v>
      </c>
      <c r="AJ12" s="51">
        <f>X12+AC12+AD12+AE12+AF12+AG12+AH12+AI12</f>
        <v>26720.294000000002</v>
      </c>
      <c r="AK12" s="51">
        <v>5100</v>
      </c>
      <c r="AL12" s="51">
        <v>38150</v>
      </c>
      <c r="AM12" s="51">
        <f t="shared" si="5"/>
        <v>43250</v>
      </c>
      <c r="AN12" s="5">
        <f t="shared" si="13"/>
        <v>0.61861991488566703</v>
      </c>
    </row>
    <row r="13" spans="1:40" x14ac:dyDescent="0.3">
      <c r="B13" s="27" t="s">
        <v>52</v>
      </c>
      <c r="C13" s="28" t="s">
        <v>45</v>
      </c>
      <c r="D13" s="28" t="s">
        <v>46</v>
      </c>
      <c r="E13" s="29">
        <f t="shared" si="14"/>
        <v>364</v>
      </c>
      <c r="F13" s="28">
        <f t="shared" si="7"/>
        <v>182</v>
      </c>
      <c r="G13" s="28">
        <f t="shared" si="8"/>
        <v>364</v>
      </c>
      <c r="H13" s="28">
        <f>_xlfn.XLOOKUP(B13,'[1]Baseline 2025'!$B:$B,'[1]Baseline 2025'!$C:$C)</f>
        <v>753</v>
      </c>
      <c r="I13" s="28">
        <f t="shared" si="9"/>
        <v>274092</v>
      </c>
      <c r="J13" s="28" t="str">
        <f>_xlfn.XLOOKUP(B13,'[1]Baseline 2025'!$B:$B,'[1]Baseline 2025'!$E:$E)</f>
        <v>Short Haul</v>
      </c>
      <c r="K13" s="28">
        <f>_xlfn.XLOOKUP(B13,'[1]Baseline 2025'!$B:$B,'[1]Baseline 2025'!$I:$I)/100</f>
        <v>20118.352800000001</v>
      </c>
      <c r="L13" s="28">
        <f t="shared" si="10"/>
        <v>2011835.28</v>
      </c>
      <c r="M13" s="28">
        <f t="shared" si="0"/>
        <v>1.3</v>
      </c>
      <c r="N13" s="28">
        <f t="shared" si="11"/>
        <v>2615.3858639999999</v>
      </c>
      <c r="O13" s="28">
        <f t="shared" si="1"/>
        <v>8.9999999999999993E-3</v>
      </c>
      <c r="P13" s="106">
        <f t="shared" si="2"/>
        <v>18.106517519999997</v>
      </c>
      <c r="Q13" s="105">
        <f t="shared" si="3"/>
        <v>2.9999999999999997E-5</v>
      </c>
      <c r="R13" s="106">
        <f t="shared" si="4"/>
        <v>6.0355058399999995E-2</v>
      </c>
      <c r="S13">
        <v>100</v>
      </c>
      <c r="T13">
        <f>G13*S13*assumptions!$D$6</f>
        <v>30940</v>
      </c>
      <c r="U13">
        <v>10.9</v>
      </c>
      <c r="V13" s="57">
        <v>6.9444444444444448E-2</v>
      </c>
      <c r="W13" s="48">
        <v>2763.5099999999998</v>
      </c>
      <c r="X13" s="51">
        <f>W13*assumptions!$C$8</f>
        <v>4974.3179999999993</v>
      </c>
      <c r="Y13">
        <v>2</v>
      </c>
      <c r="Z13">
        <v>3</v>
      </c>
      <c r="AA13" s="58">
        <v>67</v>
      </c>
      <c r="AB13" s="49">
        <v>3.5</v>
      </c>
      <c r="AC13" s="51">
        <v>747</v>
      </c>
      <c r="AD13" s="51">
        <v>5555</v>
      </c>
      <c r="AE13" s="51">
        <v>13280</v>
      </c>
      <c r="AF13" s="51">
        <v>3320</v>
      </c>
      <c r="AG13" s="51">
        <v>1038</v>
      </c>
      <c r="AH13" s="51">
        <v>2550</v>
      </c>
      <c r="AI13" s="51">
        <v>2248</v>
      </c>
      <c r="AJ13" s="51">
        <f>X13+AC13+AD13+AE13+AF13+AG13+AH13+AI13</f>
        <v>33712.317999999999</v>
      </c>
      <c r="AK13" s="51">
        <v>5695</v>
      </c>
      <c r="AL13" s="51">
        <v>38150</v>
      </c>
      <c r="AM13" s="51">
        <f t="shared" si="5"/>
        <v>43845</v>
      </c>
      <c r="AN13" s="5">
        <f t="shared" si="13"/>
        <v>0.30056319473493343</v>
      </c>
    </row>
    <row r="14" spans="1:40" x14ac:dyDescent="0.3">
      <c r="B14" s="27" t="s">
        <v>53</v>
      </c>
      <c r="C14" s="28" t="s">
        <v>45</v>
      </c>
      <c r="D14" s="28" t="s">
        <v>46</v>
      </c>
      <c r="E14" s="29">
        <f t="shared" si="14"/>
        <v>364</v>
      </c>
      <c r="F14" s="28">
        <f t="shared" si="7"/>
        <v>182</v>
      </c>
      <c r="G14" s="28">
        <f t="shared" si="8"/>
        <v>364</v>
      </c>
      <c r="H14" s="28">
        <f>_xlfn.XLOOKUP(B14,'[1]Baseline 2025'!$B:$B,'[1]Baseline 2025'!$C:$C)</f>
        <v>1970</v>
      </c>
      <c r="I14" s="28">
        <f t="shared" si="9"/>
        <v>717080</v>
      </c>
      <c r="J14" s="28" t="str">
        <f>_xlfn.XLOOKUP(B14,'[1]Baseline 2025'!$B:$B,'[1]Baseline 2025'!$E:$E)</f>
        <v>Short Haul</v>
      </c>
      <c r="K14" s="28">
        <f>_xlfn.XLOOKUP(B14,'[1]Baseline 2025'!$B:$B,'[1]Baseline 2025'!$I:$I)/100</f>
        <v>52633.671999999991</v>
      </c>
      <c r="L14" s="28">
        <f t="shared" si="10"/>
        <v>5263367.1999999993</v>
      </c>
      <c r="M14" s="28">
        <f t="shared" si="0"/>
        <v>1.3</v>
      </c>
      <c r="N14" s="28">
        <f t="shared" si="11"/>
        <v>6842.3773599999995</v>
      </c>
      <c r="O14" s="28">
        <f t="shared" si="1"/>
        <v>8.9999999999999993E-3</v>
      </c>
      <c r="P14" s="106">
        <f t="shared" si="2"/>
        <v>47.370304799999992</v>
      </c>
      <c r="Q14" s="105">
        <f t="shared" si="3"/>
        <v>2.9999999999999997E-5</v>
      </c>
      <c r="R14" s="106">
        <f t="shared" si="4"/>
        <v>0.15790101599999998</v>
      </c>
      <c r="S14">
        <v>100</v>
      </c>
      <c r="T14">
        <f>G14*S14*assumptions!$D$6</f>
        <v>30940</v>
      </c>
      <c r="U14">
        <v>10.9</v>
      </c>
      <c r="V14" s="57">
        <v>0.125</v>
      </c>
      <c r="W14" s="48">
        <v>7229.9</v>
      </c>
      <c r="X14" s="51">
        <f>W14*assumptions!$C$8</f>
        <v>13013.82</v>
      </c>
      <c r="Y14">
        <v>2</v>
      </c>
      <c r="Z14">
        <v>3</v>
      </c>
      <c r="AA14" s="58">
        <v>285</v>
      </c>
      <c r="AB14" s="49">
        <v>3.5</v>
      </c>
      <c r="AC14" s="51">
        <v>1350</v>
      </c>
      <c r="AD14" s="51">
        <v>7380</v>
      </c>
      <c r="AE14" s="51">
        <v>24000</v>
      </c>
      <c r="AF14" s="51">
        <v>6000</v>
      </c>
      <c r="AG14" s="51">
        <v>1875</v>
      </c>
      <c r="AH14" s="51">
        <v>2550</v>
      </c>
      <c r="AI14" s="51">
        <v>4041</v>
      </c>
      <c r="AJ14" s="51">
        <f t="shared" si="12"/>
        <v>60209.82</v>
      </c>
      <c r="AK14" s="51">
        <v>24225</v>
      </c>
      <c r="AL14" s="51">
        <v>38150</v>
      </c>
      <c r="AM14" s="51">
        <f t="shared" si="5"/>
        <v>62375</v>
      </c>
      <c r="AN14" s="5">
        <v>0.05</v>
      </c>
    </row>
    <row r="15" spans="1:40" x14ac:dyDescent="0.3">
      <c r="B15" s="27" t="s">
        <v>54</v>
      </c>
      <c r="C15" s="28" t="s">
        <v>45</v>
      </c>
      <c r="D15" s="28" t="s">
        <v>46</v>
      </c>
      <c r="E15" s="29">
        <f t="shared" si="14"/>
        <v>364</v>
      </c>
      <c r="F15" s="28">
        <f t="shared" si="7"/>
        <v>182</v>
      </c>
      <c r="G15" s="28">
        <f t="shared" si="8"/>
        <v>364</v>
      </c>
      <c r="H15" s="28">
        <f>_xlfn.XLOOKUP(B15,'[1]Baseline 2025'!$B:$B,'[1]Baseline 2025'!$C:$C)</f>
        <v>1848</v>
      </c>
      <c r="I15" s="28">
        <f t="shared" si="9"/>
        <v>672672</v>
      </c>
      <c r="J15" s="28" t="str">
        <f>_xlfn.XLOOKUP(B15,'[1]Baseline 2025'!$B:$B,'[1]Baseline 2025'!$E:$E)</f>
        <v>Short Haul</v>
      </c>
      <c r="K15" s="28">
        <f>_xlfn.XLOOKUP(B15,'[1]Baseline 2025'!$B:$B,'[1]Baseline 2025'!$I:$I)/100</f>
        <v>49374.124799999998</v>
      </c>
      <c r="L15" s="28">
        <f t="shared" si="10"/>
        <v>4937412.4799999995</v>
      </c>
      <c r="M15" s="28">
        <f t="shared" si="0"/>
        <v>1.3</v>
      </c>
      <c r="N15" s="28">
        <f t="shared" si="11"/>
        <v>6418.6362239999999</v>
      </c>
      <c r="O15" s="28">
        <f t="shared" si="1"/>
        <v>8.9999999999999993E-3</v>
      </c>
      <c r="P15" s="106">
        <f t="shared" si="2"/>
        <v>44.436712319999991</v>
      </c>
      <c r="Q15" s="105">
        <f t="shared" si="3"/>
        <v>2.9999999999999997E-5</v>
      </c>
      <c r="R15" s="106">
        <f t="shared" si="4"/>
        <v>0.14812237439999998</v>
      </c>
      <c r="S15">
        <v>100</v>
      </c>
      <c r="T15">
        <f>G15*S15*assumptions!$D$6</f>
        <v>30940</v>
      </c>
      <c r="U15">
        <v>10.9</v>
      </c>
      <c r="V15" s="57">
        <v>0.13194444444444445</v>
      </c>
      <c r="W15" s="48">
        <v>6782.16</v>
      </c>
      <c r="X15" s="51">
        <f>W15*assumptions!$C$8</f>
        <v>12207.888000000001</v>
      </c>
      <c r="Y15">
        <v>2</v>
      </c>
      <c r="Z15">
        <v>3</v>
      </c>
      <c r="AA15" s="58">
        <v>308</v>
      </c>
      <c r="AB15" s="49">
        <v>3.5</v>
      </c>
      <c r="AC15" s="51">
        <v>1425</v>
      </c>
      <c r="AD15" s="51">
        <v>7197</v>
      </c>
      <c r="AE15" s="51">
        <v>25334</v>
      </c>
      <c r="AF15" s="51">
        <v>6333</v>
      </c>
      <c r="AG15" s="51">
        <v>1979</v>
      </c>
      <c r="AH15" s="51">
        <v>2550</v>
      </c>
      <c r="AI15" s="51">
        <v>4075</v>
      </c>
      <c r="AJ15" s="51">
        <f>X15+AC15+AD15+AE15+AF15+AG15+AH15+AI15</f>
        <v>61100.887999999999</v>
      </c>
      <c r="AK15" s="51">
        <v>26180</v>
      </c>
      <c r="AL15" s="51">
        <v>38150</v>
      </c>
      <c r="AM15" s="51">
        <f t="shared" si="5"/>
        <v>64330</v>
      </c>
      <c r="AN15" s="5">
        <v>0.05</v>
      </c>
    </row>
    <row r="16" spans="1:40" x14ac:dyDescent="0.3">
      <c r="B16" s="27" t="s">
        <v>55</v>
      </c>
      <c r="C16" s="28" t="s">
        <v>45</v>
      </c>
      <c r="D16" s="28" t="s">
        <v>46</v>
      </c>
      <c r="E16" s="29">
        <f t="shared" si="14"/>
        <v>364</v>
      </c>
      <c r="F16" s="28">
        <f t="shared" si="7"/>
        <v>182</v>
      </c>
      <c r="G16" s="28">
        <f t="shared" si="8"/>
        <v>364</v>
      </c>
      <c r="H16" s="28">
        <f>_xlfn.XLOOKUP(B16,'[1]Baseline 2025'!$B:$B,'[1]Baseline 2025'!$C:$C)</f>
        <v>665</v>
      </c>
      <c r="I16" s="28">
        <f t="shared" si="9"/>
        <v>242060</v>
      </c>
      <c r="J16" s="28" t="str">
        <f>_xlfn.XLOOKUP(B16,'[1]Baseline 2025'!$B:$B,'[1]Baseline 2025'!$E:$E)</f>
        <v>Short Haul</v>
      </c>
      <c r="K16" s="28">
        <f>_xlfn.XLOOKUP(B16,'[1]Baseline 2025'!$B:$B,'[1]Baseline 2025'!$I:$I)/100</f>
        <v>17767.203999999998</v>
      </c>
      <c r="L16" s="28">
        <f t="shared" si="10"/>
        <v>1776720.4</v>
      </c>
      <c r="M16" s="28">
        <f t="shared" si="0"/>
        <v>1.3</v>
      </c>
      <c r="N16" s="28">
        <f t="shared" si="11"/>
        <v>2309.7365199999999</v>
      </c>
      <c r="O16" s="28">
        <f t="shared" si="1"/>
        <v>8.9999999999999993E-3</v>
      </c>
      <c r="P16" s="106">
        <f t="shared" si="2"/>
        <v>15.990483599999997</v>
      </c>
      <c r="Q16" s="105">
        <f t="shared" si="3"/>
        <v>2.9999999999999997E-5</v>
      </c>
      <c r="R16" s="106">
        <f t="shared" si="4"/>
        <v>5.3301611999999991E-2</v>
      </c>
      <c r="S16">
        <v>100</v>
      </c>
      <c r="T16">
        <f>G16*S16*assumptions!$D$6</f>
        <v>30940</v>
      </c>
      <c r="U16">
        <v>10.9</v>
      </c>
      <c r="V16" s="57">
        <v>5.9027777777777776E-2</v>
      </c>
      <c r="W16" s="48">
        <v>2440.5499999999997</v>
      </c>
      <c r="X16" s="51">
        <f>W16*assumptions!$C$8</f>
        <v>4392.99</v>
      </c>
      <c r="Y16">
        <v>2</v>
      </c>
      <c r="Z16">
        <v>3</v>
      </c>
      <c r="AA16" s="58">
        <v>65</v>
      </c>
      <c r="AB16" s="49">
        <v>3.5</v>
      </c>
      <c r="AC16" s="51">
        <v>639</v>
      </c>
      <c r="AD16" s="51">
        <v>5738</v>
      </c>
      <c r="AE16" s="51">
        <v>11360</v>
      </c>
      <c r="AF16" s="51">
        <v>2840</v>
      </c>
      <c r="AG16" s="51">
        <v>888</v>
      </c>
      <c r="AH16" s="51">
        <v>2550</v>
      </c>
      <c r="AI16" s="51">
        <v>1999</v>
      </c>
      <c r="AJ16" s="51">
        <f t="shared" si="12"/>
        <v>30406.989999999998</v>
      </c>
      <c r="AK16" s="51">
        <v>5525</v>
      </c>
      <c r="AL16" s="51">
        <v>38150</v>
      </c>
      <c r="AM16" s="51">
        <f t="shared" si="5"/>
        <v>43675</v>
      </c>
      <c r="AN16" s="5">
        <f t="shared" si="13"/>
        <v>0.43634736618126313</v>
      </c>
    </row>
    <row r="17" spans="1:40" x14ac:dyDescent="0.3">
      <c r="B17" s="27" t="s">
        <v>56</v>
      </c>
      <c r="C17" s="28" t="s">
        <v>45</v>
      </c>
      <c r="D17" s="28" t="s">
        <v>46</v>
      </c>
      <c r="E17" s="29">
        <f t="shared" si="14"/>
        <v>364</v>
      </c>
      <c r="F17" s="28">
        <f t="shared" si="7"/>
        <v>182</v>
      </c>
      <c r="G17" s="28">
        <f t="shared" si="8"/>
        <v>364</v>
      </c>
      <c r="H17" s="28">
        <f>_xlfn.XLOOKUP(B17,'[1]Baseline 2025'!$B:$B,'[1]Baseline 2025'!$C:$C)</f>
        <v>961</v>
      </c>
      <c r="I17" s="28">
        <f t="shared" si="9"/>
        <v>349804</v>
      </c>
      <c r="J17" s="28" t="str">
        <f>_xlfn.XLOOKUP(B17,'[1]Baseline 2025'!$B:$B,'[1]Baseline 2025'!$E:$E)</f>
        <v>Short Haul</v>
      </c>
      <c r="K17" s="28">
        <f>_xlfn.XLOOKUP(B17,'[1]Baseline 2025'!$B:$B,'[1]Baseline 2025'!$I:$I)/100</f>
        <v>25675.613599999997</v>
      </c>
      <c r="L17" s="28">
        <f t="shared" si="10"/>
        <v>2567561.36</v>
      </c>
      <c r="M17" s="28">
        <f t="shared" si="0"/>
        <v>1.3</v>
      </c>
      <c r="N17" s="28">
        <f t="shared" si="11"/>
        <v>3337.8297680000001</v>
      </c>
      <c r="O17" s="28">
        <f t="shared" si="1"/>
        <v>8.9999999999999993E-3</v>
      </c>
      <c r="P17" s="106">
        <f t="shared" si="2"/>
        <v>23.108052239999996</v>
      </c>
      <c r="Q17" s="105">
        <f t="shared" si="3"/>
        <v>2.9999999999999997E-5</v>
      </c>
      <c r="R17" s="106">
        <f t="shared" si="4"/>
        <v>7.7026840799999982E-2</v>
      </c>
      <c r="S17">
        <v>100</v>
      </c>
      <c r="T17">
        <f>G17*S17*assumptions!$D$6</f>
        <v>30940</v>
      </c>
      <c r="U17">
        <v>10.9</v>
      </c>
      <c r="V17" s="57">
        <v>7.2916666666666671E-2</v>
      </c>
      <c r="W17" s="48">
        <v>3526.87</v>
      </c>
      <c r="X17" s="51">
        <f>W17*assumptions!$C$8</f>
        <v>6348.366</v>
      </c>
      <c r="Y17">
        <v>2</v>
      </c>
      <c r="Z17">
        <v>3</v>
      </c>
      <c r="AA17" s="58">
        <v>70</v>
      </c>
      <c r="AB17" s="49">
        <v>3.5</v>
      </c>
      <c r="AC17" s="51">
        <v>787.5</v>
      </c>
      <c r="AD17" s="51">
        <v>5867</v>
      </c>
      <c r="AE17" s="51">
        <v>14000</v>
      </c>
      <c r="AF17" s="51">
        <v>3500</v>
      </c>
      <c r="AG17" s="51">
        <v>1094</v>
      </c>
      <c r="AH17" s="51">
        <v>2550</v>
      </c>
      <c r="AI17" s="51">
        <v>2440</v>
      </c>
      <c r="AJ17" s="51">
        <f t="shared" si="12"/>
        <v>36586.866000000002</v>
      </c>
      <c r="AK17" s="51">
        <v>5950</v>
      </c>
      <c r="AL17" s="51">
        <v>38150</v>
      </c>
      <c r="AM17" s="51">
        <f t="shared" si="5"/>
        <v>44100</v>
      </c>
      <c r="AN17" s="5">
        <f t="shared" si="13"/>
        <v>0.20535057580498961</v>
      </c>
    </row>
    <row r="18" spans="1:40" x14ac:dyDescent="0.3">
      <c r="B18" s="27" t="s">
        <v>57</v>
      </c>
      <c r="C18" s="28" t="s">
        <v>45</v>
      </c>
      <c r="D18" s="28" t="s">
        <v>46</v>
      </c>
      <c r="E18" s="29">
        <f t="shared" si="14"/>
        <v>364</v>
      </c>
      <c r="F18" s="28">
        <f t="shared" si="7"/>
        <v>182</v>
      </c>
      <c r="G18" s="28">
        <f t="shared" si="8"/>
        <v>364</v>
      </c>
      <c r="H18" s="28">
        <f>_xlfn.XLOOKUP(B18,'[1]Baseline 2025'!$B:$B,'[1]Baseline 2025'!$C:$C)</f>
        <v>1426</v>
      </c>
      <c r="I18" s="28">
        <f t="shared" si="9"/>
        <v>519064</v>
      </c>
      <c r="J18" s="28" t="str">
        <f>_xlfn.XLOOKUP(B18,'[1]Baseline 2025'!$B:$B,'[1]Baseline 2025'!$E:$E)</f>
        <v>Short Haul</v>
      </c>
      <c r="K18" s="28">
        <f>_xlfn.XLOOKUP(B18,'[1]Baseline 2025'!$B:$B,'[1]Baseline 2025'!$I:$I)/100</f>
        <v>38099.297600000005</v>
      </c>
      <c r="L18" s="28">
        <f t="shared" si="10"/>
        <v>3809929.7600000007</v>
      </c>
      <c r="M18" s="28">
        <f t="shared" si="0"/>
        <v>1.3</v>
      </c>
      <c r="N18" s="28">
        <f t="shared" si="11"/>
        <v>4952.9086880000013</v>
      </c>
      <c r="O18" s="28">
        <f t="shared" si="1"/>
        <v>8.9999999999999993E-3</v>
      </c>
      <c r="P18" s="106">
        <f t="shared" si="2"/>
        <v>34.289367840000004</v>
      </c>
      <c r="Q18" s="105">
        <f t="shared" si="3"/>
        <v>2.9999999999999997E-5</v>
      </c>
      <c r="R18" s="106">
        <f t="shared" si="4"/>
        <v>0.11429789280000001</v>
      </c>
      <c r="S18">
        <v>100</v>
      </c>
      <c r="T18">
        <f>G18*S18*assumptions!$D$6</f>
        <v>30940</v>
      </c>
      <c r="U18">
        <v>10.9</v>
      </c>
      <c r="V18" s="57">
        <v>0.10069444444444445</v>
      </c>
      <c r="W18" s="48">
        <v>5233.42</v>
      </c>
      <c r="X18" s="51">
        <f>W18*assumptions!$C$8</f>
        <v>9420.1560000000009</v>
      </c>
      <c r="Y18">
        <v>2</v>
      </c>
      <c r="Z18">
        <v>3</v>
      </c>
      <c r="AA18" s="58">
        <v>170</v>
      </c>
      <c r="AB18" s="49">
        <v>3.5</v>
      </c>
      <c r="AC18" s="51">
        <v>1089</v>
      </c>
      <c r="AD18" s="51">
        <v>6564</v>
      </c>
      <c r="AE18" s="51">
        <v>19360</v>
      </c>
      <c r="AF18" s="51">
        <v>4840</v>
      </c>
      <c r="AG18" s="51">
        <v>1513</v>
      </c>
      <c r="AH18" s="51">
        <v>2550</v>
      </c>
      <c r="AI18" s="51">
        <v>3239</v>
      </c>
      <c r="AJ18" s="51">
        <f t="shared" si="12"/>
        <v>48575.156000000003</v>
      </c>
      <c r="AK18" s="51">
        <v>14450</v>
      </c>
      <c r="AL18" s="51">
        <v>38150</v>
      </c>
      <c r="AM18" s="51">
        <f t="shared" si="5"/>
        <v>52600</v>
      </c>
      <c r="AN18" s="5">
        <f t="shared" si="13"/>
        <v>8.2858076667833958E-2</v>
      </c>
    </row>
    <row r="19" spans="1:40" x14ac:dyDescent="0.3">
      <c r="B19" s="27" t="s">
        <v>58</v>
      </c>
      <c r="C19" s="28" t="s">
        <v>45</v>
      </c>
      <c r="D19" s="28" t="s">
        <v>46</v>
      </c>
      <c r="E19" s="29">
        <f t="shared" si="14"/>
        <v>364</v>
      </c>
      <c r="F19" s="28">
        <f t="shared" si="7"/>
        <v>182</v>
      </c>
      <c r="G19" s="28">
        <f t="shared" si="8"/>
        <v>364</v>
      </c>
      <c r="H19" s="28">
        <f>_xlfn.XLOOKUP(B19,'[1]Baseline 2025'!$B:$B,'[1]Baseline 2025'!$C:$C)</f>
        <v>962</v>
      </c>
      <c r="I19" s="28">
        <f t="shared" si="9"/>
        <v>350168</v>
      </c>
      <c r="J19" s="28" t="str">
        <f>_xlfn.XLOOKUP(B19,'[1]Baseline 2025'!$B:$B,'[1]Baseline 2025'!$E:$E)</f>
        <v>Short Haul</v>
      </c>
      <c r="K19" s="28">
        <f>_xlfn.XLOOKUP(B19,'[1]Baseline 2025'!$B:$B,'[1]Baseline 2025'!$I:$I)/100</f>
        <v>25702.331200000001</v>
      </c>
      <c r="L19" s="28">
        <f t="shared" si="10"/>
        <v>2570233.12</v>
      </c>
      <c r="M19" s="28">
        <f t="shared" si="0"/>
        <v>1.3</v>
      </c>
      <c r="N19" s="28">
        <f t="shared" si="11"/>
        <v>3341.3030560000002</v>
      </c>
      <c r="O19" s="28">
        <f t="shared" si="1"/>
        <v>8.9999999999999993E-3</v>
      </c>
      <c r="P19" s="106">
        <f t="shared" si="2"/>
        <v>23.132098079999999</v>
      </c>
      <c r="Q19" s="105">
        <f t="shared" si="3"/>
        <v>2.9999999999999997E-5</v>
      </c>
      <c r="R19" s="106">
        <f t="shared" si="4"/>
        <v>7.7106993599999993E-2</v>
      </c>
      <c r="S19">
        <v>100</v>
      </c>
      <c r="T19">
        <f>G19*S19*assumptions!$D$6</f>
        <v>30940</v>
      </c>
      <c r="U19">
        <v>10.9</v>
      </c>
      <c r="V19" s="57">
        <v>7.2916666666666671E-2</v>
      </c>
      <c r="W19" s="48">
        <v>3530.54</v>
      </c>
      <c r="X19" s="51">
        <f>W19*assumptions!$C$8</f>
        <v>6354.9719999999998</v>
      </c>
      <c r="Y19">
        <v>2</v>
      </c>
      <c r="Z19">
        <v>3</v>
      </c>
      <c r="AA19" s="58">
        <v>80.599999999999994</v>
      </c>
      <c r="AB19" s="49">
        <v>3.5</v>
      </c>
      <c r="AC19" s="51">
        <v>787.5</v>
      </c>
      <c r="AD19" s="51">
        <v>5868</v>
      </c>
      <c r="AE19" s="51">
        <v>14000</v>
      </c>
      <c r="AF19" s="51">
        <v>3500</v>
      </c>
      <c r="AG19" s="51">
        <v>1094</v>
      </c>
      <c r="AH19" s="51">
        <v>2550</v>
      </c>
      <c r="AI19" s="51">
        <v>2441</v>
      </c>
      <c r="AJ19" s="51">
        <f t="shared" si="12"/>
        <v>36595.472000000002</v>
      </c>
      <c r="AK19" s="51">
        <v>6851</v>
      </c>
      <c r="AL19" s="51">
        <v>38150</v>
      </c>
      <c r="AM19" s="51">
        <f t="shared" si="5"/>
        <v>45001</v>
      </c>
      <c r="AN19" s="5">
        <f t="shared" si="13"/>
        <v>0.22968765097496213</v>
      </c>
    </row>
    <row r="20" spans="1:40" x14ac:dyDescent="0.3">
      <c r="B20" s="27" t="s">
        <v>59</v>
      </c>
      <c r="C20" s="28" t="s">
        <v>45</v>
      </c>
      <c r="D20" s="28" t="s">
        <v>46</v>
      </c>
      <c r="E20" s="29">
        <f t="shared" si="14"/>
        <v>364</v>
      </c>
      <c r="F20" s="28">
        <f t="shared" si="7"/>
        <v>182</v>
      </c>
      <c r="G20" s="28">
        <f t="shared" si="8"/>
        <v>364</v>
      </c>
      <c r="H20" s="28">
        <f>_xlfn.XLOOKUP(B20,'[1]Baseline 2025'!$B:$B,'[1]Baseline 2025'!$C:$C)</f>
        <v>1105</v>
      </c>
      <c r="I20" s="28">
        <f t="shared" si="9"/>
        <v>402220</v>
      </c>
      <c r="J20" s="28" t="str">
        <f>_xlfn.XLOOKUP(B20,'[1]Baseline 2025'!$B:$B,'[1]Baseline 2025'!$E:$E)</f>
        <v>Short Haul</v>
      </c>
      <c r="K20" s="28">
        <f>_xlfn.XLOOKUP(B20,'[1]Baseline 2025'!$B:$B,'[1]Baseline 2025'!$I:$I)/100</f>
        <v>29522.948000000004</v>
      </c>
      <c r="L20" s="28">
        <f t="shared" si="10"/>
        <v>2952294.8000000003</v>
      </c>
      <c r="M20" s="28">
        <f t="shared" si="0"/>
        <v>1.3</v>
      </c>
      <c r="N20" s="28">
        <f t="shared" si="11"/>
        <v>3837.9832400000005</v>
      </c>
      <c r="O20" s="28">
        <f t="shared" si="1"/>
        <v>8.9999999999999993E-3</v>
      </c>
      <c r="P20" s="106">
        <f t="shared" si="2"/>
        <v>26.570653200000002</v>
      </c>
      <c r="Q20" s="105">
        <f t="shared" si="3"/>
        <v>2.9999999999999997E-5</v>
      </c>
      <c r="R20" s="106">
        <f t="shared" si="4"/>
        <v>8.8568843999999994E-2</v>
      </c>
      <c r="S20">
        <v>100</v>
      </c>
      <c r="T20">
        <f>G20*S20*assumptions!$D$6</f>
        <v>30940</v>
      </c>
      <c r="U20">
        <v>10.9</v>
      </c>
      <c r="V20" s="57">
        <v>7.9861111111111105E-2</v>
      </c>
      <c r="W20" s="48">
        <v>4055.35</v>
      </c>
      <c r="X20" s="51">
        <f>W20*assumptions!$C$8</f>
        <v>7299.63</v>
      </c>
      <c r="Y20">
        <v>2</v>
      </c>
      <c r="Z20">
        <v>3</v>
      </c>
      <c r="AA20" s="58">
        <v>87.75</v>
      </c>
      <c r="AB20" s="49">
        <v>3.5</v>
      </c>
      <c r="AC20" s="51">
        <v>859.5</v>
      </c>
      <c r="AD20" s="51">
        <v>6083</v>
      </c>
      <c r="AE20" s="51">
        <v>15280</v>
      </c>
      <c r="AF20" s="51">
        <v>3820</v>
      </c>
      <c r="AG20" s="51">
        <v>1194</v>
      </c>
      <c r="AH20" s="51">
        <v>2550</v>
      </c>
      <c r="AI20" s="51">
        <v>2650</v>
      </c>
      <c r="AJ20" s="51">
        <f t="shared" si="12"/>
        <v>39736.130000000005</v>
      </c>
      <c r="AK20" s="51">
        <v>7458.75</v>
      </c>
      <c r="AL20" s="51">
        <v>38150</v>
      </c>
      <c r="AM20" s="51">
        <f t="shared" si="5"/>
        <v>45608.75</v>
      </c>
      <c r="AN20" s="5">
        <f t="shared" si="13"/>
        <v>0.14779043656239277</v>
      </c>
    </row>
    <row r="21" spans="1:40" x14ac:dyDescent="0.3">
      <c r="B21" s="27" t="s">
        <v>60</v>
      </c>
      <c r="C21" s="28" t="s">
        <v>45</v>
      </c>
      <c r="D21" s="28" t="s">
        <v>46</v>
      </c>
      <c r="E21" s="29">
        <f>14*52*2</f>
        <v>1456</v>
      </c>
      <c r="F21" s="28">
        <f t="shared" si="7"/>
        <v>728</v>
      </c>
      <c r="G21" s="28">
        <f t="shared" si="8"/>
        <v>1456</v>
      </c>
      <c r="H21" s="28">
        <f>_xlfn.XLOOKUP(B21,'[1]Baseline 2025'!$B:$B,'[1]Baseline 2025'!$C:$C)</f>
        <v>603</v>
      </c>
      <c r="I21" s="28">
        <f t="shared" si="9"/>
        <v>877968</v>
      </c>
      <c r="J21" s="28" t="str">
        <f>_xlfn.XLOOKUP(B21,'[1]Baseline 2025'!$B:$B,'[1]Baseline 2025'!$E:$E)</f>
        <v>Short Haul</v>
      </c>
      <c r="K21" s="28">
        <f>_xlfn.XLOOKUP(B21,'[1]Baseline 2025'!$B:$B,'[1]Baseline 2025'!$I:$I)/100</f>
        <v>32221.425599999995</v>
      </c>
      <c r="L21" s="28">
        <f t="shared" si="10"/>
        <v>3222142.5599999996</v>
      </c>
      <c r="M21" s="28">
        <f t="shared" si="0"/>
        <v>1.3</v>
      </c>
      <c r="N21" s="28">
        <f t="shared" si="11"/>
        <v>4188.7853279999999</v>
      </c>
      <c r="O21" s="28">
        <f t="shared" si="1"/>
        <v>8.9999999999999993E-3</v>
      </c>
      <c r="P21" s="106">
        <f t="shared" si="2"/>
        <v>28.999283039999995</v>
      </c>
      <c r="Q21" s="105">
        <f t="shared" si="3"/>
        <v>2.9999999999999997E-5</v>
      </c>
      <c r="R21" s="106">
        <f t="shared" si="4"/>
        <v>9.6664276799999976E-2</v>
      </c>
      <c r="S21">
        <v>100</v>
      </c>
      <c r="T21">
        <f>G21*S21*assumptions!$D$6</f>
        <v>123760</v>
      </c>
      <c r="U21">
        <v>10.9</v>
      </c>
      <c r="V21" s="57">
        <v>5.9027777777777776E-2</v>
      </c>
      <c r="W21" s="48">
        <v>2213.0099999999998</v>
      </c>
      <c r="X21" s="51">
        <f>W21*assumptions!$C$8</f>
        <v>3983.4179999999997</v>
      </c>
      <c r="Y21">
        <v>2</v>
      </c>
      <c r="Z21">
        <v>3</v>
      </c>
      <c r="AA21" s="58">
        <v>65</v>
      </c>
      <c r="AB21" s="49">
        <v>3.5</v>
      </c>
      <c r="AC21" s="51">
        <v>634.5</v>
      </c>
      <c r="AD21" s="51">
        <v>5330</v>
      </c>
      <c r="AE21" s="51">
        <v>11280</v>
      </c>
      <c r="AF21" s="51">
        <v>2820</v>
      </c>
      <c r="AG21" s="51">
        <v>881</v>
      </c>
      <c r="AH21" s="51">
        <v>2550</v>
      </c>
      <c r="AI21" s="51">
        <v>1964</v>
      </c>
      <c r="AJ21" s="51">
        <f t="shared" si="12"/>
        <v>29442.917999999998</v>
      </c>
      <c r="AK21" s="51">
        <v>4250</v>
      </c>
      <c r="AL21" s="51">
        <v>38150</v>
      </c>
      <c r="AM21" s="51">
        <f t="shared" si="5"/>
        <v>42400</v>
      </c>
      <c r="AN21" s="5">
        <f t="shared" si="13"/>
        <v>0.44007465564384618</v>
      </c>
    </row>
    <row r="22" spans="1:40" x14ac:dyDescent="0.3">
      <c r="B22" s="23" t="s">
        <v>61</v>
      </c>
      <c r="C22" s="24" t="s">
        <v>62</v>
      </c>
      <c r="D22" s="24" t="s">
        <v>46</v>
      </c>
      <c r="E22" s="25">
        <f>3*52*2</f>
        <v>312</v>
      </c>
      <c r="F22" s="24">
        <f t="shared" si="7"/>
        <v>156</v>
      </c>
      <c r="G22" s="24">
        <f t="shared" si="8"/>
        <v>312</v>
      </c>
      <c r="H22" s="24">
        <f>_xlfn.XLOOKUP(B22,'[1]Baseline 2025'!$B:$B,'[1]Baseline 2025'!$C:$C)</f>
        <v>9217</v>
      </c>
      <c r="I22" s="24">
        <f t="shared" si="9"/>
        <v>2875704</v>
      </c>
      <c r="J22" s="24" t="str">
        <f>_xlfn.XLOOKUP(B22,'[1]Baseline 2025'!$B:$B,'[1]Baseline 2025'!$E:$E)</f>
        <v>Long Haul</v>
      </c>
      <c r="K22" s="24">
        <f>_xlfn.XLOOKUP(B22,'[1]Baseline 2025'!$B:$B,'[1]Baseline 2025'!$I:$I)/100</f>
        <v>213377.23679999998</v>
      </c>
      <c r="L22" s="24">
        <f t="shared" si="10"/>
        <v>21337723.68</v>
      </c>
      <c r="M22" s="28">
        <f t="shared" si="0"/>
        <v>1.3</v>
      </c>
      <c r="N22" s="24">
        <f t="shared" si="11"/>
        <v>27739.040784000001</v>
      </c>
      <c r="O22" s="28">
        <f t="shared" si="1"/>
        <v>8.9999999999999993E-3</v>
      </c>
      <c r="P22" s="106">
        <f t="shared" si="2"/>
        <v>192.03951311999998</v>
      </c>
      <c r="Q22" s="105">
        <f t="shared" si="3"/>
        <v>2.9999999999999997E-5</v>
      </c>
      <c r="R22" s="106">
        <f t="shared" si="4"/>
        <v>0.64013171039999994</v>
      </c>
      <c r="S22">
        <v>300</v>
      </c>
      <c r="T22">
        <f>G22*S22*assumptions!$D$6</f>
        <v>79560</v>
      </c>
      <c r="U22">
        <v>20</v>
      </c>
      <c r="V22" s="57">
        <v>0.46875</v>
      </c>
      <c r="W22" s="48">
        <v>68390.14</v>
      </c>
      <c r="X22" s="51">
        <f>W22*assumptions!$C$8</f>
        <v>123102.25200000001</v>
      </c>
      <c r="Y22">
        <v>3</v>
      </c>
      <c r="Z22">
        <v>12</v>
      </c>
      <c r="AA22" s="58">
        <v>1200</v>
      </c>
      <c r="AB22" s="49">
        <v>3.5</v>
      </c>
      <c r="AC22" s="51">
        <v>11812.5</v>
      </c>
      <c r="AD22" s="51">
        <v>27101</v>
      </c>
      <c r="AE22" s="51">
        <v>90000</v>
      </c>
      <c r="AF22" s="51">
        <v>22500</v>
      </c>
      <c r="AG22" s="51">
        <v>21094</v>
      </c>
      <c r="AH22" s="51">
        <v>7650</v>
      </c>
      <c r="AI22" s="51">
        <v>21743</v>
      </c>
      <c r="AJ22" s="50">
        <f>X22+AC22+AD22+AE22+AF22+AG22+AH22+AI22</f>
        <v>325002.75199999998</v>
      </c>
      <c r="AK22" s="51">
        <v>273360</v>
      </c>
      <c r="AL22" s="51">
        <v>70000</v>
      </c>
      <c r="AM22" s="51">
        <f>AK22+AL22</f>
        <v>343360</v>
      </c>
      <c r="AN22" s="5">
        <f t="shared" si="13"/>
        <v>5.6483361716272551E-2</v>
      </c>
    </row>
    <row r="23" spans="1:40" x14ac:dyDescent="0.3">
      <c r="B23" s="23" t="s">
        <v>63</v>
      </c>
      <c r="C23" s="24" t="s">
        <v>62</v>
      </c>
      <c r="D23" s="24" t="s">
        <v>46</v>
      </c>
      <c r="E23" s="25">
        <f>3*52*2</f>
        <v>312</v>
      </c>
      <c r="F23" s="24">
        <f t="shared" si="7"/>
        <v>156</v>
      </c>
      <c r="G23" s="24">
        <f t="shared" si="8"/>
        <v>312</v>
      </c>
      <c r="H23" s="24">
        <f>_xlfn.XLOOKUP(B23,'[1]Baseline 2025'!$B:$B,'[1]Baseline 2025'!$C:$C)</f>
        <v>9285</v>
      </c>
      <c r="I23" s="24">
        <f t="shared" si="9"/>
        <v>2896920</v>
      </c>
      <c r="J23" s="24" t="str">
        <f>_xlfn.XLOOKUP(B23,'[1]Baseline 2025'!$B:$B,'[1]Baseline 2025'!$E:$E)</f>
        <v>Long Haul</v>
      </c>
      <c r="K23" s="24">
        <f>_xlfn.XLOOKUP(B23,'[1]Baseline 2025'!$B:$B,'[1]Baseline 2025'!$I:$I)/100</f>
        <v>214951.46399999998</v>
      </c>
      <c r="L23" s="24">
        <f t="shared" si="10"/>
        <v>21495146.399999999</v>
      </c>
      <c r="M23" s="28">
        <f t="shared" si="0"/>
        <v>1.3</v>
      </c>
      <c r="N23" s="24">
        <f t="shared" si="11"/>
        <v>27943.690320000002</v>
      </c>
      <c r="O23" s="28">
        <f t="shared" si="1"/>
        <v>8.9999999999999993E-3</v>
      </c>
      <c r="P23" s="106">
        <f t="shared" si="2"/>
        <v>193.45631759999998</v>
      </c>
      <c r="Q23" s="105">
        <f t="shared" si="3"/>
        <v>2.9999999999999997E-5</v>
      </c>
      <c r="R23" s="106">
        <f t="shared" si="4"/>
        <v>0.64485439199999983</v>
      </c>
      <c r="S23">
        <v>300</v>
      </c>
      <c r="T23">
        <f>G23*S23*assumptions!$D$6</f>
        <v>79560</v>
      </c>
      <c r="U23">
        <v>20</v>
      </c>
      <c r="V23" s="57">
        <v>0.46875</v>
      </c>
      <c r="W23" s="48">
        <v>68894.7</v>
      </c>
      <c r="X23" s="51">
        <f>W23*assumptions!$C$8</f>
        <v>124010.45999999999</v>
      </c>
      <c r="Y23">
        <v>3</v>
      </c>
      <c r="Z23">
        <v>12</v>
      </c>
      <c r="AA23" s="58">
        <v>1072</v>
      </c>
      <c r="AB23" s="49">
        <v>3.5</v>
      </c>
      <c r="AC23" s="51">
        <v>11812.5</v>
      </c>
      <c r="AD23" s="51">
        <v>27203</v>
      </c>
      <c r="AE23" s="51">
        <v>90000</v>
      </c>
      <c r="AF23" s="51">
        <v>22500</v>
      </c>
      <c r="AG23" s="51">
        <v>21094</v>
      </c>
      <c r="AH23" s="51">
        <v>7650</v>
      </c>
      <c r="AI23" s="51">
        <v>21743</v>
      </c>
      <c r="AJ23" s="50">
        <f>X23+AC23+AD23+AE23+AF23+AG23+AH23+AI23</f>
        <v>326012.95999999996</v>
      </c>
      <c r="AK23" s="51">
        <v>273360</v>
      </c>
      <c r="AL23" s="51">
        <v>70000</v>
      </c>
      <c r="AM23" s="51">
        <f>AK23+AL23</f>
        <v>343360</v>
      </c>
      <c r="AN23" s="5">
        <f t="shared" si="13"/>
        <v>5.3209663812138208E-2</v>
      </c>
    </row>
    <row r="24" spans="1:40" x14ac:dyDescent="0.3">
      <c r="B24" s="23" t="s">
        <v>64</v>
      </c>
      <c r="C24" s="24" t="s">
        <v>62</v>
      </c>
      <c r="D24" s="24" t="s">
        <v>46</v>
      </c>
      <c r="E24" s="25">
        <f>52*2</f>
        <v>104</v>
      </c>
      <c r="F24" s="24">
        <f t="shared" si="7"/>
        <v>52</v>
      </c>
      <c r="G24" s="24">
        <f t="shared" si="8"/>
        <v>104</v>
      </c>
      <c r="H24" s="24">
        <f>_xlfn.XLOOKUP(B24,'[1]Baseline 2025'!$B:$B,'[1]Baseline 2025'!$C:$C)</f>
        <v>8886</v>
      </c>
      <c r="I24" s="24">
        <f t="shared" si="9"/>
        <v>924144</v>
      </c>
      <c r="J24" s="24" t="str">
        <f>_xlfn.XLOOKUP(B24,'[1]Baseline 2025'!$B:$B,'[1]Baseline 2025'!$E:$E)</f>
        <v>Long Haul</v>
      </c>
      <c r="K24" s="24">
        <f>_xlfn.XLOOKUP(B24,'[1]Baseline 2025'!$B:$B,'[1]Baseline 2025'!$I:$I)/100</f>
        <v>68571.484799999991</v>
      </c>
      <c r="L24" s="24">
        <f t="shared" si="10"/>
        <v>6857148.4799999995</v>
      </c>
      <c r="M24" s="28">
        <f t="shared" si="0"/>
        <v>1.3</v>
      </c>
      <c r="N24" s="24">
        <f t="shared" si="11"/>
        <v>8914.2930240000005</v>
      </c>
      <c r="O24" s="28">
        <f t="shared" si="1"/>
        <v>8.9999999999999993E-3</v>
      </c>
      <c r="P24" s="106">
        <f t="shared" si="2"/>
        <v>61.714336319999987</v>
      </c>
      <c r="Q24" s="105">
        <f t="shared" si="3"/>
        <v>2.9999999999999997E-5</v>
      </c>
      <c r="R24" s="106">
        <f t="shared" si="4"/>
        <v>0.20571445439999997</v>
      </c>
      <c r="S24">
        <v>300</v>
      </c>
      <c r="T24">
        <f>G24*S24*assumptions!$D$6</f>
        <v>26520</v>
      </c>
      <c r="U24">
        <v>20</v>
      </c>
      <c r="V24" s="57">
        <v>0.45833333333333331</v>
      </c>
      <c r="W24" s="48">
        <v>65934.12</v>
      </c>
      <c r="X24" s="51">
        <f>W24*assumptions!$C$8</f>
        <v>118681.416</v>
      </c>
      <c r="Y24">
        <v>3</v>
      </c>
      <c r="Z24">
        <v>12</v>
      </c>
      <c r="AA24" s="60">
        <v>1031</v>
      </c>
      <c r="AB24" s="49">
        <v>3.5</v>
      </c>
      <c r="AC24" s="51">
        <v>11550</v>
      </c>
      <c r="AD24" s="51">
        <v>26604</v>
      </c>
      <c r="AE24" s="51">
        <v>88000</v>
      </c>
      <c r="AF24" s="51">
        <v>22000</v>
      </c>
      <c r="AG24" s="51">
        <v>20625</v>
      </c>
      <c r="AH24" s="51">
        <v>7650</v>
      </c>
      <c r="AI24" s="51">
        <v>21087</v>
      </c>
      <c r="AJ24" s="50">
        <f t="shared" ref="AJ24:AJ25" si="15">X24+AC24+AD24+AE24+AF24+AG24+AH24+AI24</f>
        <v>316197.41599999997</v>
      </c>
      <c r="AK24" s="51">
        <v>262905</v>
      </c>
      <c r="AL24" s="51">
        <v>70000</v>
      </c>
      <c r="AM24" s="51">
        <f t="shared" ref="AM24:AM28" si="16">AK24+AL24</f>
        <v>332905</v>
      </c>
      <c r="AN24" s="5">
        <f t="shared" si="13"/>
        <v>5.2839090879857276E-2</v>
      </c>
    </row>
    <row r="25" spans="1:40" x14ac:dyDescent="0.3">
      <c r="B25" s="23" t="s">
        <v>65</v>
      </c>
      <c r="C25" s="24" t="s">
        <v>62</v>
      </c>
      <c r="D25" s="24" t="s">
        <v>46</v>
      </c>
      <c r="E25" s="25">
        <f>156*2</f>
        <v>312</v>
      </c>
      <c r="F25" s="24">
        <f t="shared" si="7"/>
        <v>156</v>
      </c>
      <c r="G25" s="24">
        <f t="shared" si="8"/>
        <v>312</v>
      </c>
      <c r="H25" s="24">
        <f>_xlfn.XLOOKUP(B25,'[1]Baseline 2025'!$B:$B,'[1]Baseline 2025'!$C:$C)</f>
        <v>8818</v>
      </c>
      <c r="I25" s="24">
        <f t="shared" si="9"/>
        <v>2751216</v>
      </c>
      <c r="J25" s="24" t="str">
        <f>_xlfn.XLOOKUP(B25,'[1]Baseline 2025'!$B:$B,'[1]Baseline 2025'!$E:$E)</f>
        <v>Long Haul</v>
      </c>
      <c r="K25" s="24">
        <f>_xlfn.XLOOKUP(B25,'[1]Baseline 2025'!$B:$B,'[1]Baseline 2025'!$I:$I)/100</f>
        <v>204140.22719999999</v>
      </c>
      <c r="L25" s="24">
        <f t="shared" si="10"/>
        <v>20414022.719999999</v>
      </c>
      <c r="M25" s="28">
        <f t="shared" si="0"/>
        <v>1.3</v>
      </c>
      <c r="N25" s="24">
        <f t="shared" si="11"/>
        <v>26538.229535999999</v>
      </c>
      <c r="O25" s="28">
        <f t="shared" si="1"/>
        <v>8.9999999999999993E-3</v>
      </c>
      <c r="P25" s="106">
        <f t="shared" si="2"/>
        <v>183.72620447999998</v>
      </c>
      <c r="Q25" s="105">
        <f t="shared" si="3"/>
        <v>2.9999999999999997E-5</v>
      </c>
      <c r="R25" s="106">
        <f t="shared" si="4"/>
        <v>0.61242068159999996</v>
      </c>
      <c r="S25">
        <v>300</v>
      </c>
      <c r="T25">
        <f>G25*S25*assumptions!$D$6</f>
        <v>79560</v>
      </c>
      <c r="U25">
        <v>20</v>
      </c>
      <c r="V25" s="57">
        <v>0.46527777777777779</v>
      </c>
      <c r="W25" s="48">
        <v>65429.56</v>
      </c>
      <c r="X25" s="51">
        <f>W25*assumptions!$C$8</f>
        <v>117773.208</v>
      </c>
      <c r="Y25">
        <v>3</v>
      </c>
      <c r="Z25">
        <v>12</v>
      </c>
      <c r="AA25" s="58">
        <v>1036</v>
      </c>
      <c r="AB25" s="49">
        <v>3.5</v>
      </c>
      <c r="AC25" s="51">
        <v>11728.5</v>
      </c>
      <c r="AD25" s="51">
        <v>26502</v>
      </c>
      <c r="AE25" s="51">
        <v>89360</v>
      </c>
      <c r="AF25" s="51">
        <v>22340</v>
      </c>
      <c r="AG25" s="51">
        <v>20944</v>
      </c>
      <c r="AH25" s="51">
        <v>7650</v>
      </c>
      <c r="AI25" s="51">
        <v>21172</v>
      </c>
      <c r="AJ25" s="50">
        <f t="shared" si="15"/>
        <v>317469.70799999998</v>
      </c>
      <c r="AK25" s="51">
        <v>264180</v>
      </c>
      <c r="AL25" s="51">
        <v>70000</v>
      </c>
      <c r="AM25" s="51">
        <f t="shared" si="16"/>
        <v>334180</v>
      </c>
      <c r="AN25" s="5">
        <f t="shared" si="13"/>
        <v>5.2635862820650692E-2</v>
      </c>
    </row>
    <row r="26" spans="1:40" x14ac:dyDescent="0.3">
      <c r="B26" s="23" t="s">
        <v>66</v>
      </c>
      <c r="C26" s="24" t="s">
        <v>62</v>
      </c>
      <c r="D26" s="24" t="s">
        <v>46</v>
      </c>
      <c r="E26" s="25">
        <f>156*2</f>
        <v>312</v>
      </c>
      <c r="F26" s="24">
        <f t="shared" si="7"/>
        <v>156</v>
      </c>
      <c r="G26" s="24">
        <f t="shared" si="8"/>
        <v>312</v>
      </c>
      <c r="H26" s="24">
        <f>_xlfn.XLOOKUP(B26,'[1]Baseline 2025'!$B:$B,'[1]Baseline 2025'!$C:$C)</f>
        <v>9220</v>
      </c>
      <c r="I26" s="24">
        <f t="shared" si="9"/>
        <v>2876640</v>
      </c>
      <c r="J26" s="24" t="str">
        <f>_xlfn.XLOOKUP(B26,'[1]Baseline 2025'!$B:$B,'[1]Baseline 2025'!$E:$E)</f>
        <v>Long Haul</v>
      </c>
      <c r="K26" s="24">
        <f>_xlfn.XLOOKUP(B26,'[1]Baseline 2025'!$B:$B,'[1]Baseline 2025'!$I:$I)/100</f>
        <v>213446.68799999997</v>
      </c>
      <c r="L26" s="24">
        <f t="shared" si="10"/>
        <v>21344668.799999997</v>
      </c>
      <c r="M26" s="28">
        <f t="shared" si="0"/>
        <v>1.3</v>
      </c>
      <c r="N26" s="24">
        <f t="shared" si="11"/>
        <v>27748.069439999999</v>
      </c>
      <c r="O26" s="28">
        <f t="shared" si="1"/>
        <v>8.9999999999999993E-3</v>
      </c>
      <c r="P26" s="106">
        <f t="shared" si="2"/>
        <v>192.10201919999994</v>
      </c>
      <c r="Q26" s="105">
        <f t="shared" si="3"/>
        <v>2.9999999999999997E-5</v>
      </c>
      <c r="R26" s="106">
        <f t="shared" si="4"/>
        <v>0.64034006399999988</v>
      </c>
      <c r="S26">
        <v>300</v>
      </c>
      <c r="T26">
        <f>G26*S26*assumptions!$D$6</f>
        <v>79560</v>
      </c>
      <c r="U26">
        <v>20</v>
      </c>
      <c r="V26" s="57">
        <v>0.47916666666666669</v>
      </c>
      <c r="W26" s="48">
        <v>68412.399999999994</v>
      </c>
      <c r="X26" s="51">
        <f>W26*assumptions!$C$8</f>
        <v>123142.31999999999</v>
      </c>
      <c r="Y26">
        <v>3</v>
      </c>
      <c r="Z26">
        <v>12</v>
      </c>
      <c r="AA26" s="58">
        <v>1081</v>
      </c>
      <c r="AB26" s="49">
        <v>3.5</v>
      </c>
      <c r="AC26" s="51">
        <v>12075</v>
      </c>
      <c r="AD26" s="51">
        <v>27105</v>
      </c>
      <c r="AE26" s="51">
        <v>92000</v>
      </c>
      <c r="AF26" s="51">
        <v>23000</v>
      </c>
      <c r="AG26" s="51">
        <v>21563</v>
      </c>
      <c r="AH26" s="51">
        <v>7650</v>
      </c>
      <c r="AI26" s="51">
        <v>21903</v>
      </c>
      <c r="AJ26" s="50">
        <f>X26+AC26+AD26+AE26+AF26+AG26+AH26+AI26</f>
        <v>328438.32</v>
      </c>
      <c r="AK26" s="51">
        <v>275655</v>
      </c>
      <c r="AL26" s="51">
        <v>70000</v>
      </c>
      <c r="AM26" s="51">
        <f t="shared" si="16"/>
        <v>345655</v>
      </c>
      <c r="AN26" s="5">
        <f t="shared" si="13"/>
        <v>5.2419827260107743E-2</v>
      </c>
    </row>
    <row r="27" spans="1:40" x14ac:dyDescent="0.3">
      <c r="B27" s="23" t="s">
        <v>67</v>
      </c>
      <c r="C27" s="24" t="s">
        <v>62</v>
      </c>
      <c r="D27" s="24" t="s">
        <v>46</v>
      </c>
      <c r="E27" s="25">
        <f>52*2</f>
        <v>104</v>
      </c>
      <c r="F27" s="24">
        <f t="shared" si="7"/>
        <v>52</v>
      </c>
      <c r="G27" s="24">
        <f t="shared" si="8"/>
        <v>104</v>
      </c>
      <c r="H27" s="24">
        <f>_xlfn.XLOOKUP(B27,'[1]Baseline 2025'!$B:$B,'[1]Baseline 2025'!$C:$C)</f>
        <v>9536</v>
      </c>
      <c r="I27" s="24">
        <f t="shared" si="9"/>
        <v>991744</v>
      </c>
      <c r="J27" s="24" t="str">
        <f>_xlfn.XLOOKUP(B27,'[1]Baseline 2025'!$B:$B,'[1]Baseline 2025'!$E:$E)</f>
        <v>Long Haul</v>
      </c>
      <c r="K27" s="24">
        <f>_xlfn.XLOOKUP(B27,'[1]Baseline 2025'!$B:$B,'[1]Baseline 2025'!$I:$I)/100</f>
        <v>73587.404799999989</v>
      </c>
      <c r="L27" s="24">
        <f t="shared" si="10"/>
        <v>7358740.4799999986</v>
      </c>
      <c r="M27" s="28">
        <f t="shared" si="0"/>
        <v>1.3</v>
      </c>
      <c r="N27" s="24">
        <f t="shared" si="11"/>
        <v>9566.3626239999976</v>
      </c>
      <c r="O27" s="28">
        <f t="shared" si="1"/>
        <v>8.9999999999999993E-3</v>
      </c>
      <c r="P27" s="106">
        <f t="shared" si="2"/>
        <v>66.228664319999979</v>
      </c>
      <c r="Q27" s="105">
        <f t="shared" si="3"/>
        <v>2.9999999999999997E-5</v>
      </c>
      <c r="R27" s="106">
        <f t="shared" si="4"/>
        <v>0.22076221439999993</v>
      </c>
      <c r="S27">
        <v>300</v>
      </c>
      <c r="T27">
        <f>G27*S27*assumptions!$D$6</f>
        <v>26520</v>
      </c>
      <c r="U27">
        <v>20</v>
      </c>
      <c r="V27" s="57">
        <v>0.5</v>
      </c>
      <c r="W27" s="48">
        <v>70757.119999999995</v>
      </c>
      <c r="X27" s="51">
        <f>W27*assumptions!$C$8</f>
        <v>127362.81599999999</v>
      </c>
      <c r="Y27">
        <v>3</v>
      </c>
      <c r="Z27">
        <v>12</v>
      </c>
      <c r="AA27" s="58">
        <v>1130</v>
      </c>
      <c r="AB27" s="49">
        <v>3.5</v>
      </c>
      <c r="AC27" s="51">
        <v>12600</v>
      </c>
      <c r="AD27" s="51">
        <v>27579</v>
      </c>
      <c r="AE27" s="51">
        <v>96000</v>
      </c>
      <c r="AF27" s="51">
        <v>24000</v>
      </c>
      <c r="AG27" s="51">
        <v>22500</v>
      </c>
      <c r="AH27" s="51">
        <v>7650</v>
      </c>
      <c r="AI27" s="51">
        <v>22701</v>
      </c>
      <c r="AJ27" s="50">
        <f>X27+AC27+AD27+AE27+AF27+AG27+AH27+AI27</f>
        <v>340392.81599999999</v>
      </c>
      <c r="AK27" s="51">
        <v>288150</v>
      </c>
      <c r="AL27" s="51">
        <v>70000</v>
      </c>
      <c r="AM27" s="51">
        <f t="shared" si="16"/>
        <v>358150</v>
      </c>
      <c r="AN27" s="5">
        <v>0.05</v>
      </c>
    </row>
    <row r="28" spans="1:40" x14ac:dyDescent="0.3">
      <c r="B28" s="23" t="s">
        <v>68</v>
      </c>
      <c r="C28" s="24" t="s">
        <v>62</v>
      </c>
      <c r="D28" s="24" t="s">
        <v>46</v>
      </c>
      <c r="E28" s="25">
        <f>156*2</f>
        <v>312</v>
      </c>
      <c r="F28" s="24">
        <f t="shared" si="7"/>
        <v>156</v>
      </c>
      <c r="G28" s="24">
        <f t="shared" si="8"/>
        <v>312</v>
      </c>
      <c r="H28" s="24">
        <f>_xlfn.XLOOKUP(B28,'[1]Baseline 2025'!$B:$B,'[1]Baseline 2025'!$C:$C)</f>
        <v>9652</v>
      </c>
      <c r="I28" s="24">
        <f t="shared" si="9"/>
        <v>3011424</v>
      </c>
      <c r="J28" s="24" t="str">
        <f>_xlfn.XLOOKUP(B28,'[1]Baseline 2025'!$B:$B,'[1]Baseline 2025'!$E:$E)</f>
        <v>Long Haul</v>
      </c>
      <c r="K28" s="24">
        <f>_xlfn.XLOOKUP(B28,'[1]Baseline 2025'!$B:$B,'[1]Baseline 2025'!$I:$I)/100</f>
        <v>223447.66079999998</v>
      </c>
      <c r="L28" s="24">
        <f t="shared" si="10"/>
        <v>22344766.079999998</v>
      </c>
      <c r="M28" s="28">
        <f t="shared" si="0"/>
        <v>1.3</v>
      </c>
      <c r="N28" s="24">
        <f t="shared" si="11"/>
        <v>29048.195904</v>
      </c>
      <c r="O28" s="28">
        <f t="shared" si="1"/>
        <v>8.9999999999999993E-3</v>
      </c>
      <c r="P28" s="106">
        <f t="shared" si="2"/>
        <v>201.10289471999999</v>
      </c>
      <c r="Q28" s="105">
        <f t="shared" si="3"/>
        <v>2.9999999999999997E-5</v>
      </c>
      <c r="R28" s="106">
        <f t="shared" si="4"/>
        <v>0.6703429823999999</v>
      </c>
      <c r="S28">
        <v>300</v>
      </c>
      <c r="T28">
        <f>G28*S28*assumptions!$D$6</f>
        <v>79560</v>
      </c>
      <c r="U28">
        <v>20</v>
      </c>
      <c r="V28" s="57">
        <v>0.47222222222222221</v>
      </c>
      <c r="W28" s="48">
        <v>71617.84</v>
      </c>
      <c r="X28" s="51">
        <f>W28*assumptions!$C$8</f>
        <v>128912.11199999999</v>
      </c>
      <c r="Y28">
        <v>3</v>
      </c>
      <c r="Z28">
        <v>12</v>
      </c>
      <c r="AA28" s="58">
        <v>1100</v>
      </c>
      <c r="AB28" s="49">
        <v>3.5</v>
      </c>
      <c r="AC28" s="51">
        <v>11896.5</v>
      </c>
      <c r="AD28" s="51">
        <v>27753</v>
      </c>
      <c r="AE28" s="51">
        <v>90640</v>
      </c>
      <c r="AF28" s="51">
        <v>22660</v>
      </c>
      <c r="AG28" s="51">
        <v>21244</v>
      </c>
      <c r="AH28" s="51">
        <v>7650</v>
      </c>
      <c r="AI28" s="51">
        <v>22205</v>
      </c>
      <c r="AJ28" s="50">
        <f>X28+AC28+AD28+AE28+AF28+AG28+AH28+AI28</f>
        <v>332960.61199999996</v>
      </c>
      <c r="AK28" s="51">
        <v>280500</v>
      </c>
      <c r="AL28" s="51">
        <v>70000</v>
      </c>
      <c r="AM28" s="51">
        <f t="shared" si="16"/>
        <v>350500</v>
      </c>
      <c r="AN28" s="5">
        <f t="shared" si="13"/>
        <v>5.2677065598377926E-2</v>
      </c>
    </row>
    <row r="29" spans="1:40" x14ac:dyDescent="0.3">
      <c r="N29" s="26">
        <f>SUM(N7:N28)</f>
        <v>213699.15475999998</v>
      </c>
      <c r="O29" s="26"/>
      <c r="P29" s="108">
        <f>SUM(P7:P28)</f>
        <v>1479.4556867999997</v>
      </c>
      <c r="Q29" s="108"/>
      <c r="R29" s="108">
        <f>SUM(R7:R28)</f>
        <v>4.9315189559999988</v>
      </c>
    </row>
    <row r="30" spans="1:40" x14ac:dyDescent="0.3">
      <c r="A30" t="s">
        <v>69</v>
      </c>
      <c r="D30" t="s">
        <v>70</v>
      </c>
      <c r="F30" t="s">
        <v>71</v>
      </c>
    </row>
    <row r="31" spans="1:40" x14ac:dyDescent="0.3">
      <c r="A31">
        <f>(E7*W7)/1000</f>
        <v>4309.5488800000003</v>
      </c>
      <c r="D31" s="51">
        <f>E7*AJ7</f>
        <v>38705559.984000005</v>
      </c>
      <c r="F31" s="51">
        <f>E7*AM7</f>
        <v>40768000</v>
      </c>
    </row>
    <row r="32" spans="1:40" x14ac:dyDescent="0.3">
      <c r="A32">
        <f t="shared" ref="A32:A52" si="17">(E8*W8)/1000</f>
        <v>3085.8828000000003</v>
      </c>
      <c r="D32" s="51">
        <f t="shared" ref="D32:D52" si="18">E8*AJ8</f>
        <v>30015389.039999999</v>
      </c>
      <c r="F32" s="51">
        <f t="shared" ref="F32:F52" si="19">E8*AM8</f>
        <v>31602480</v>
      </c>
      <c r="AA32">
        <f>(249/308)</f>
        <v>0.80844155844155841</v>
      </c>
    </row>
    <row r="33" spans="1:6" x14ac:dyDescent="0.3">
      <c r="A33">
        <f t="shared" si="17"/>
        <v>3315.65416</v>
      </c>
      <c r="D33" s="51">
        <f t="shared" si="18"/>
        <v>33415597.488000002</v>
      </c>
      <c r="F33" s="51">
        <f t="shared" si="19"/>
        <v>35198800</v>
      </c>
    </row>
    <row r="34" spans="1:6" x14ac:dyDescent="0.3">
      <c r="A34">
        <f t="shared" si="17"/>
        <v>422.13808</v>
      </c>
      <c r="D34" s="51">
        <f t="shared" si="18"/>
        <v>12141400.544</v>
      </c>
      <c r="F34" s="51">
        <f t="shared" si="19"/>
        <v>30867200</v>
      </c>
    </row>
    <row r="35" spans="1:6" x14ac:dyDescent="0.3">
      <c r="A35">
        <f t="shared" si="17"/>
        <v>1498.85736</v>
      </c>
      <c r="D35" s="51">
        <f t="shared" si="18"/>
        <v>20477523.248</v>
      </c>
      <c r="F35" s="51">
        <f t="shared" si="19"/>
        <v>31486000</v>
      </c>
    </row>
    <row r="36" spans="1:6" x14ac:dyDescent="0.3">
      <c r="A36">
        <f t="shared" si="17"/>
        <v>533.01612</v>
      </c>
      <c r="D36" s="51">
        <f t="shared" si="18"/>
        <v>9726187.0160000008</v>
      </c>
      <c r="F36" s="51">
        <f t="shared" si="19"/>
        <v>15743000</v>
      </c>
    </row>
    <row r="37" spans="1:6" x14ac:dyDescent="0.3">
      <c r="A37">
        <f t="shared" si="17"/>
        <v>1005.9176399999999</v>
      </c>
      <c r="D37" s="51">
        <f t="shared" si="18"/>
        <v>12271283.752</v>
      </c>
      <c r="F37" s="51">
        <f t="shared" si="19"/>
        <v>15959580</v>
      </c>
    </row>
    <row r="38" spans="1:6" x14ac:dyDescent="0.3">
      <c r="A38">
        <f t="shared" si="17"/>
        <v>2631.6836000000003</v>
      </c>
      <c r="D38" s="51">
        <f t="shared" si="18"/>
        <v>21916374.48</v>
      </c>
      <c r="F38" s="51">
        <f t="shared" si="19"/>
        <v>22704500</v>
      </c>
    </row>
    <row r="39" spans="1:6" x14ac:dyDescent="0.3">
      <c r="A39">
        <f t="shared" si="17"/>
        <v>2468.70624</v>
      </c>
      <c r="D39" s="51">
        <f t="shared" si="18"/>
        <v>22240723.232000001</v>
      </c>
      <c r="F39" s="51">
        <f t="shared" si="19"/>
        <v>23416120</v>
      </c>
    </row>
    <row r="40" spans="1:6" x14ac:dyDescent="0.3">
      <c r="A40">
        <f t="shared" si="17"/>
        <v>888.36019999999996</v>
      </c>
      <c r="D40" s="51">
        <f t="shared" si="18"/>
        <v>11068144.359999999</v>
      </c>
      <c r="F40" s="51">
        <f t="shared" si="19"/>
        <v>15897700</v>
      </c>
    </row>
    <row r="41" spans="1:6" x14ac:dyDescent="0.3">
      <c r="A41">
        <f t="shared" si="17"/>
        <v>1283.7806799999998</v>
      </c>
      <c r="D41" s="51">
        <f t="shared" si="18"/>
        <v>13317619.224000001</v>
      </c>
      <c r="F41" s="51">
        <f t="shared" si="19"/>
        <v>16052400</v>
      </c>
    </row>
    <row r="42" spans="1:6" x14ac:dyDescent="0.3">
      <c r="A42">
        <f t="shared" si="17"/>
        <v>1904.9648800000002</v>
      </c>
      <c r="D42" s="51">
        <f t="shared" si="18"/>
        <v>17681356.784000002</v>
      </c>
      <c r="F42" s="51">
        <f t="shared" si="19"/>
        <v>19146400</v>
      </c>
    </row>
    <row r="43" spans="1:6" x14ac:dyDescent="0.3">
      <c r="A43">
        <f t="shared" si="17"/>
        <v>1285.1165600000002</v>
      </c>
      <c r="D43" s="51">
        <f t="shared" si="18"/>
        <v>13320751.808</v>
      </c>
      <c r="F43" s="51">
        <f t="shared" si="19"/>
        <v>16380364</v>
      </c>
    </row>
    <row r="44" spans="1:6" x14ac:dyDescent="0.3">
      <c r="A44">
        <f t="shared" si="17"/>
        <v>1476.1473999999998</v>
      </c>
      <c r="D44" s="51">
        <f t="shared" si="18"/>
        <v>14463951.320000002</v>
      </c>
      <c r="F44" s="51">
        <f t="shared" si="19"/>
        <v>16601585</v>
      </c>
    </row>
    <row r="45" spans="1:6" x14ac:dyDescent="0.3">
      <c r="A45">
        <f t="shared" si="17"/>
        <v>3222.1425599999998</v>
      </c>
      <c r="D45" s="51">
        <f t="shared" si="18"/>
        <v>42868888.607999995</v>
      </c>
      <c r="F45" s="51">
        <f t="shared" si="19"/>
        <v>61734400</v>
      </c>
    </row>
    <row r="46" spans="1:6" x14ac:dyDescent="0.3">
      <c r="A46">
        <f t="shared" si="17"/>
        <v>21337.723679999999</v>
      </c>
      <c r="D46" s="51">
        <f t="shared" si="18"/>
        <v>101400858.624</v>
      </c>
      <c r="F46" s="51">
        <f t="shared" si="19"/>
        <v>107128320</v>
      </c>
    </row>
    <row r="47" spans="1:6" x14ac:dyDescent="0.3">
      <c r="A47">
        <f t="shared" si="17"/>
        <v>21495.146399999998</v>
      </c>
      <c r="D47" s="51">
        <f t="shared" si="18"/>
        <v>101716043.51999998</v>
      </c>
      <c r="F47" s="51">
        <f t="shared" si="19"/>
        <v>107128320</v>
      </c>
    </row>
    <row r="48" spans="1:6" x14ac:dyDescent="0.3">
      <c r="A48">
        <f t="shared" si="17"/>
        <v>6857.1484799999998</v>
      </c>
      <c r="D48" s="51">
        <f t="shared" si="18"/>
        <v>32884531.263999999</v>
      </c>
      <c r="F48" s="51">
        <f t="shared" si="19"/>
        <v>34622120</v>
      </c>
    </row>
    <row r="49" spans="1:6" x14ac:dyDescent="0.3">
      <c r="A49">
        <f t="shared" si="17"/>
        <v>20414.022719999997</v>
      </c>
      <c r="D49" s="51">
        <f t="shared" si="18"/>
        <v>99050548.895999998</v>
      </c>
      <c r="F49" s="51">
        <f t="shared" si="19"/>
        <v>104264160</v>
      </c>
    </row>
    <row r="50" spans="1:6" x14ac:dyDescent="0.3">
      <c r="A50">
        <f t="shared" si="17"/>
        <v>21344.668799999996</v>
      </c>
      <c r="D50" s="51">
        <f t="shared" si="18"/>
        <v>102472755.84</v>
      </c>
      <c r="F50" s="51">
        <f t="shared" si="19"/>
        <v>107844360</v>
      </c>
    </row>
    <row r="51" spans="1:6" x14ac:dyDescent="0.3">
      <c r="A51">
        <f t="shared" si="17"/>
        <v>7358.7404799999995</v>
      </c>
      <c r="D51" s="51">
        <f t="shared" si="18"/>
        <v>35400852.864</v>
      </c>
      <c r="F51" s="51">
        <f t="shared" si="19"/>
        <v>37247600</v>
      </c>
    </row>
    <row r="52" spans="1:6" x14ac:dyDescent="0.3">
      <c r="A52">
        <f t="shared" si="17"/>
        <v>22344.766079999998</v>
      </c>
      <c r="D52" s="51">
        <f t="shared" si="18"/>
        <v>103883710.94399999</v>
      </c>
      <c r="F52" s="51">
        <f t="shared" si="19"/>
        <v>109356000</v>
      </c>
    </row>
    <row r="54" spans="1:6" x14ac:dyDescent="0.3">
      <c r="A54" t="s">
        <v>72</v>
      </c>
      <c r="D54" t="s">
        <v>72</v>
      </c>
      <c r="F54" t="s">
        <v>72</v>
      </c>
    </row>
    <row r="55" spans="1:6" x14ac:dyDescent="0.3">
      <c r="A55">
        <f>SUM(A31:A52)</f>
        <v>150484.13379999998</v>
      </c>
      <c r="D55" s="51">
        <f>SUM(D31:D52)</f>
        <v>890440052.84000003</v>
      </c>
      <c r="F55" s="51">
        <f>SUM(F31:F52)</f>
        <v>1001149409</v>
      </c>
    </row>
  </sheetData>
  <mergeCells count="1">
    <mergeCell ref="A4:N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D225-1D9B-4EC2-976B-BA6B05A8A673}">
  <sheetPr>
    <tabColor theme="9"/>
  </sheetPr>
  <dimension ref="A4:AO55"/>
  <sheetViews>
    <sheetView topLeftCell="D3" zoomScale="54" zoomScaleNormal="80" workbookViewId="0">
      <selection activeCell="R7" sqref="R7"/>
    </sheetView>
  </sheetViews>
  <sheetFormatPr defaultRowHeight="14.4" x14ac:dyDescent="0.3"/>
  <cols>
    <col min="1" max="1" width="9.109375" bestFit="1" customWidth="1"/>
    <col min="4" max="4" width="13.109375" bestFit="1" customWidth="1"/>
    <col min="5" max="5" width="9.109375" bestFit="1" customWidth="1"/>
    <col min="6" max="6" width="13.109375" bestFit="1" customWidth="1"/>
    <col min="7" max="8" width="9.109375" bestFit="1" customWidth="1"/>
    <col min="9" max="9" width="10.33203125" bestFit="1" customWidth="1"/>
    <col min="10" max="10" width="10" bestFit="1" customWidth="1"/>
    <col min="11" max="11" width="11.5546875" bestFit="1" customWidth="1"/>
    <col min="12" max="12" width="14.109375" bestFit="1" customWidth="1"/>
    <col min="13" max="14" width="9" bestFit="1" customWidth="1"/>
    <col min="15" max="18" width="9" customWidth="1"/>
    <col min="19" max="19" width="9" bestFit="1" customWidth="1"/>
    <col min="20" max="20" width="9" customWidth="1"/>
    <col min="21" max="22" width="9" bestFit="1" customWidth="1"/>
    <col min="23" max="23" width="10" bestFit="1" customWidth="1"/>
    <col min="24" max="24" width="15.33203125" bestFit="1" customWidth="1"/>
    <col min="25" max="26" width="12.5546875" bestFit="1" customWidth="1"/>
    <col min="27" max="27" width="10.5546875" bestFit="1" customWidth="1"/>
    <col min="28" max="28" width="9" bestFit="1" customWidth="1"/>
    <col min="29" max="29" width="11" bestFit="1" customWidth="1"/>
    <col min="30" max="31" width="14.33203125" bestFit="1" customWidth="1"/>
    <col min="32" max="32" width="15.33203125" bestFit="1" customWidth="1"/>
    <col min="33" max="33" width="14.109375" bestFit="1" customWidth="1"/>
    <col min="34" max="34" width="11.44140625" bestFit="1" customWidth="1"/>
    <col min="35" max="35" width="14.109375" bestFit="1" customWidth="1"/>
    <col min="36" max="36" width="12.109375" bestFit="1" customWidth="1"/>
    <col min="37" max="37" width="12.5546875" bestFit="1" customWidth="1"/>
    <col min="38" max="38" width="12.109375" bestFit="1" customWidth="1"/>
    <col min="39" max="39" width="12.44140625" bestFit="1" customWidth="1"/>
    <col min="40" max="40" width="10.5546875" bestFit="1" customWidth="1"/>
  </cols>
  <sheetData>
    <row r="4" spans="1:41" ht="26.7" customHeight="1" x14ac:dyDescent="0.5">
      <c r="A4" s="111" t="s">
        <v>74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01"/>
      <c r="P4" s="101"/>
      <c r="Q4" s="101"/>
      <c r="R4" s="101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</row>
    <row r="5" spans="1:41" ht="25.8" x14ac:dyDescent="0.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44"/>
      <c r="T5" s="44"/>
      <c r="U5" s="44"/>
      <c r="V5" s="44"/>
      <c r="W5" s="44"/>
      <c r="X5" s="44"/>
      <c r="Y5" s="38" t="s">
        <v>1</v>
      </c>
      <c r="Z5" s="22"/>
      <c r="AA5" s="45"/>
      <c r="AB5" s="45"/>
      <c r="AC5" s="45"/>
      <c r="AD5" s="36"/>
      <c r="AE5" s="36"/>
      <c r="AF5" s="36"/>
      <c r="AG5" s="37" t="s">
        <v>2</v>
      </c>
      <c r="AH5" s="36"/>
      <c r="AI5" s="36"/>
      <c r="AJ5" s="36"/>
      <c r="AK5" s="36"/>
      <c r="AL5" s="39"/>
      <c r="AM5" s="40" t="s">
        <v>75</v>
      </c>
      <c r="AN5" s="39"/>
    </row>
    <row r="6" spans="1:41" ht="169.8" x14ac:dyDescent="0.3">
      <c r="B6" s="21" t="s">
        <v>4</v>
      </c>
      <c r="C6" s="21" t="s">
        <v>5</v>
      </c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1" t="s">
        <v>18</v>
      </c>
      <c r="Q6" s="21" t="s">
        <v>19</v>
      </c>
      <c r="R6" s="21" t="s">
        <v>20</v>
      </c>
      <c r="S6" s="30" t="s">
        <v>21</v>
      </c>
      <c r="T6" s="30" t="s">
        <v>22</v>
      </c>
      <c r="U6" s="30" t="s">
        <v>23</v>
      </c>
      <c r="V6" s="30" t="s">
        <v>24</v>
      </c>
      <c r="W6" s="30" t="s">
        <v>25</v>
      </c>
      <c r="X6" s="30" t="s">
        <v>76</v>
      </c>
      <c r="Y6" s="32" t="s">
        <v>31</v>
      </c>
      <c r="Z6" s="32" t="s">
        <v>32</v>
      </c>
      <c r="AA6" s="33" t="s">
        <v>30</v>
      </c>
      <c r="AB6" s="33" t="s">
        <v>33</v>
      </c>
      <c r="AC6" s="33" t="s">
        <v>73</v>
      </c>
      <c r="AD6" s="31" t="s">
        <v>1</v>
      </c>
      <c r="AE6" s="31" t="s">
        <v>34</v>
      </c>
      <c r="AF6" s="31" t="s">
        <v>35</v>
      </c>
      <c r="AG6" s="31" t="s">
        <v>36</v>
      </c>
      <c r="AH6" s="31" t="s">
        <v>37</v>
      </c>
      <c r="AI6" s="31" t="s">
        <v>38</v>
      </c>
      <c r="AJ6" s="31" t="s">
        <v>39</v>
      </c>
      <c r="AK6" s="31" t="s">
        <v>40</v>
      </c>
      <c r="AL6" s="31" t="s">
        <v>77</v>
      </c>
      <c r="AM6" s="31" t="s">
        <v>78</v>
      </c>
      <c r="AN6" s="31" t="s">
        <v>79</v>
      </c>
      <c r="AO6" s="31"/>
    </row>
    <row r="7" spans="1:41" x14ac:dyDescent="0.3">
      <c r="B7" s="27" t="s">
        <v>44</v>
      </c>
      <c r="C7" s="28" t="s">
        <v>45</v>
      </c>
      <c r="D7" s="28" t="s">
        <v>46</v>
      </c>
      <c r="E7" s="29">
        <f>7*52*2</f>
        <v>728</v>
      </c>
      <c r="F7" s="28">
        <f t="shared" ref="F7:F28" si="0">E7/2</f>
        <v>364</v>
      </c>
      <c r="G7" s="28">
        <f t="shared" ref="G7:G28" si="1">E7</f>
        <v>728</v>
      </c>
      <c r="H7" s="28">
        <f>_xlfn.XLOOKUP(B7,'[1]Baseline 2025'!$B:$B,'[1]Baseline 2025'!$C:$C)</f>
        <v>1613</v>
      </c>
      <c r="I7" s="28">
        <f t="shared" ref="I7:I28" si="2">E7*H7</f>
        <v>1174264</v>
      </c>
      <c r="J7" s="28" t="str">
        <f>_xlfn.XLOOKUP(B7,'[1]Baseline 2025'!$B:$B,'[1]Baseline 2025'!$E:$E)</f>
        <v>Short Haul</v>
      </c>
      <c r="K7" s="28">
        <f>_xlfn.XLOOKUP(B7,'[1]Baseline 2025'!$B:$B,'[1]Baseline 2025'!$I:$I)/100</f>
        <v>43095.488799999999</v>
      </c>
      <c r="L7" s="28">
        <f t="shared" ref="L7:L28" si="3">K7*100</f>
        <v>4309548.88</v>
      </c>
      <c r="M7" s="28">
        <f t="shared" ref="M7:M28" si="4">1.3</f>
        <v>1.3</v>
      </c>
      <c r="N7" s="28">
        <f t="shared" ref="N7:N28" si="5">(L7*M7)/1000</f>
        <v>5602.413544</v>
      </c>
      <c r="O7" s="28">
        <f t="shared" ref="O7:O28" si="6">9/1000</f>
        <v>8.9999999999999993E-3</v>
      </c>
      <c r="P7" s="106">
        <f t="shared" ref="P7:P28" si="7">(O7*L7)/1000</f>
        <v>38.785939919999997</v>
      </c>
      <c r="Q7" s="105">
        <f t="shared" ref="Q7:Q28" si="8">0.03/1000</f>
        <v>2.9999999999999997E-5</v>
      </c>
      <c r="R7" s="106">
        <f t="shared" ref="R7:R28" si="9">Q7*L7/1000</f>
        <v>0.12928646639999999</v>
      </c>
      <c r="S7">
        <v>100</v>
      </c>
      <c r="T7">
        <f>G7*S7*assumptions!$D$6</f>
        <v>61880</v>
      </c>
      <c r="U7">
        <v>10.9</v>
      </c>
      <c r="V7" s="57">
        <v>0.1111111111111111</v>
      </c>
      <c r="W7" s="48">
        <v>5919.71</v>
      </c>
      <c r="X7" s="51">
        <f>W7*assumptions!$D$8</f>
        <v>7695.6230000000005</v>
      </c>
      <c r="Y7">
        <v>2</v>
      </c>
      <c r="Z7">
        <v>3</v>
      </c>
      <c r="AA7" s="58">
        <v>210</v>
      </c>
      <c r="AB7" s="49">
        <v>3.5</v>
      </c>
      <c r="AC7" s="51">
        <v>1859</v>
      </c>
      <c r="AD7" s="51">
        <v>1201.5</v>
      </c>
      <c r="AE7" s="51">
        <v>6845</v>
      </c>
      <c r="AF7" s="51">
        <v>21360</v>
      </c>
      <c r="AG7" s="51">
        <v>5340</v>
      </c>
      <c r="AH7" s="51">
        <v>1669</v>
      </c>
      <c r="AI7" s="51">
        <v>2550</v>
      </c>
      <c r="AJ7" s="51">
        <v>3546</v>
      </c>
      <c r="AK7" s="51">
        <f t="shared" ref="AK7:AK28" si="10">X7+AD7+AE7+AF7+AG7+AH7+AI7+AJ7+AC7</f>
        <v>52066.123</v>
      </c>
      <c r="AL7" s="51">
        <v>17850</v>
      </c>
      <c r="AM7" s="51">
        <v>38150</v>
      </c>
      <c r="AN7" s="51">
        <f t="shared" ref="AN7:AN28" si="11">AL7+AM7</f>
        <v>56000</v>
      </c>
      <c r="AO7" s="5"/>
    </row>
    <row r="8" spans="1:41" x14ac:dyDescent="0.3">
      <c r="B8" s="27" t="s">
        <v>47</v>
      </c>
      <c r="C8" s="28" t="s">
        <v>45</v>
      </c>
      <c r="D8" s="28" t="s">
        <v>46</v>
      </c>
      <c r="E8" s="29">
        <f>7*52*2</f>
        <v>728</v>
      </c>
      <c r="F8" s="28">
        <f t="shared" si="0"/>
        <v>364</v>
      </c>
      <c r="G8" s="28">
        <f t="shared" si="1"/>
        <v>728</v>
      </c>
      <c r="H8" s="28">
        <f>_xlfn.XLOOKUP(B8,'[1]Baseline 2025'!$B:$B,'[1]Baseline 2025'!$C:$C)</f>
        <v>1155</v>
      </c>
      <c r="I8" s="28">
        <f t="shared" si="2"/>
        <v>840840</v>
      </c>
      <c r="J8" s="28" t="str">
        <f>_xlfn.XLOOKUP(B8,'[1]Baseline 2025'!$B:$B,'[1]Baseline 2025'!$E:$E)</f>
        <v>Short Haul</v>
      </c>
      <c r="K8" s="28">
        <f>_xlfn.XLOOKUP(B8,'[1]Baseline 2025'!$B:$B,'[1]Baseline 2025'!$I:$I)/100</f>
        <v>30858.828000000001</v>
      </c>
      <c r="L8" s="28">
        <f t="shared" si="3"/>
        <v>3085882.8000000003</v>
      </c>
      <c r="M8" s="28">
        <f t="shared" si="4"/>
        <v>1.3</v>
      </c>
      <c r="N8" s="28">
        <f t="shared" si="5"/>
        <v>4011.6476400000006</v>
      </c>
      <c r="O8" s="28">
        <f t="shared" si="6"/>
        <v>8.9999999999999993E-3</v>
      </c>
      <c r="P8" s="106">
        <f t="shared" si="7"/>
        <v>27.772945200000002</v>
      </c>
      <c r="Q8" s="105">
        <f t="shared" si="8"/>
        <v>2.9999999999999997E-5</v>
      </c>
      <c r="R8" s="106">
        <f t="shared" si="9"/>
        <v>9.2576483999999987E-2</v>
      </c>
      <c r="S8">
        <v>100</v>
      </c>
      <c r="T8">
        <f>G8*S8*assumptions!$D$6</f>
        <v>61880</v>
      </c>
      <c r="U8">
        <v>10.9</v>
      </c>
      <c r="V8" s="57">
        <v>8.3333333333333329E-2</v>
      </c>
      <c r="W8" s="48">
        <v>4238.8500000000004</v>
      </c>
      <c r="X8" s="51">
        <f>W8*assumptions!$D$8</f>
        <v>5510.505000000001</v>
      </c>
      <c r="Y8">
        <v>2</v>
      </c>
      <c r="Z8">
        <v>3</v>
      </c>
      <c r="AA8" s="58">
        <v>126</v>
      </c>
      <c r="AB8" s="49">
        <v>3</v>
      </c>
      <c r="AC8" s="51">
        <v>1331</v>
      </c>
      <c r="AD8" s="51">
        <v>900</v>
      </c>
      <c r="AE8" s="51">
        <v>6158</v>
      </c>
      <c r="AF8" s="51">
        <v>16000</v>
      </c>
      <c r="AG8" s="51">
        <v>4000</v>
      </c>
      <c r="AH8" s="51">
        <v>1250</v>
      </c>
      <c r="AI8" s="51">
        <v>2550</v>
      </c>
      <c r="AJ8" s="51">
        <v>2750</v>
      </c>
      <c r="AK8" s="51">
        <f t="shared" si="10"/>
        <v>40449.505000000005</v>
      </c>
      <c r="AL8" s="51">
        <v>10710</v>
      </c>
      <c r="AM8" s="51">
        <v>32700</v>
      </c>
      <c r="AN8" s="51">
        <f t="shared" si="11"/>
        <v>43410</v>
      </c>
      <c r="AO8" s="5"/>
    </row>
    <row r="9" spans="1:41" x14ac:dyDescent="0.3">
      <c r="B9" s="27" t="s">
        <v>48</v>
      </c>
      <c r="C9" s="28" t="s">
        <v>45</v>
      </c>
      <c r="D9" s="28" t="s">
        <v>46</v>
      </c>
      <c r="E9" s="29">
        <f>7*52*2</f>
        <v>728</v>
      </c>
      <c r="F9" s="28">
        <f t="shared" si="0"/>
        <v>364</v>
      </c>
      <c r="G9" s="28">
        <f t="shared" si="1"/>
        <v>728</v>
      </c>
      <c r="H9" s="28">
        <f>_xlfn.XLOOKUP(B9,'[1]Baseline 2025'!$B:$B,'[1]Baseline 2025'!$C:$C)</f>
        <v>1241</v>
      </c>
      <c r="I9" s="28">
        <f t="shared" si="2"/>
        <v>903448</v>
      </c>
      <c r="J9" s="28" t="str">
        <f>_xlfn.XLOOKUP(B9,'[1]Baseline 2025'!$B:$B,'[1]Baseline 2025'!$E:$E)</f>
        <v>Short Haul</v>
      </c>
      <c r="K9" s="28">
        <f>_xlfn.XLOOKUP(B9,'[1]Baseline 2025'!$B:$B,'[1]Baseline 2025'!$I:$I)/100</f>
        <v>33156.541600000004</v>
      </c>
      <c r="L9" s="28">
        <f t="shared" si="3"/>
        <v>3315654.1600000006</v>
      </c>
      <c r="M9" s="28">
        <f t="shared" si="4"/>
        <v>1.3</v>
      </c>
      <c r="N9" s="28">
        <f t="shared" si="5"/>
        <v>4310.3504080000012</v>
      </c>
      <c r="O9" s="28">
        <f t="shared" si="6"/>
        <v>8.9999999999999993E-3</v>
      </c>
      <c r="P9" s="106">
        <f t="shared" si="7"/>
        <v>29.840887440000003</v>
      </c>
      <c r="Q9" s="105">
        <f t="shared" si="8"/>
        <v>2.9999999999999997E-5</v>
      </c>
      <c r="R9" s="106">
        <f t="shared" si="9"/>
        <v>9.9469624800000003E-2</v>
      </c>
      <c r="S9">
        <v>100</v>
      </c>
      <c r="T9">
        <f>G9*S9*assumptions!$D$6</f>
        <v>61880</v>
      </c>
      <c r="U9">
        <v>10.9</v>
      </c>
      <c r="V9" s="57">
        <v>9.7222222222222224E-2</v>
      </c>
      <c r="W9" s="48">
        <v>4554.47</v>
      </c>
      <c r="X9" s="51">
        <f>W9*assumptions!$D$8</f>
        <v>5920.8110000000006</v>
      </c>
      <c r="Y9">
        <v>2</v>
      </c>
      <c r="Z9">
        <v>3</v>
      </c>
      <c r="AA9" s="58">
        <v>120</v>
      </c>
      <c r="AB9" s="49">
        <v>3.5</v>
      </c>
      <c r="AC9" s="51">
        <v>1430</v>
      </c>
      <c r="AD9" s="51">
        <v>1048.5</v>
      </c>
      <c r="AE9" s="51">
        <v>6287</v>
      </c>
      <c r="AF9" s="51">
        <v>18640</v>
      </c>
      <c r="AG9" s="51">
        <v>4660</v>
      </c>
      <c r="AH9" s="51">
        <v>1456</v>
      </c>
      <c r="AI9" s="51">
        <v>2550</v>
      </c>
      <c r="AJ9" s="51">
        <v>3061</v>
      </c>
      <c r="AK9" s="51">
        <f t="shared" si="10"/>
        <v>45053.311000000002</v>
      </c>
      <c r="AL9" s="51">
        <v>10200</v>
      </c>
      <c r="AM9" s="51">
        <v>38150</v>
      </c>
      <c r="AN9" s="51">
        <f t="shared" si="11"/>
        <v>48350</v>
      </c>
      <c r="AO9" s="5"/>
    </row>
    <row r="10" spans="1:41" x14ac:dyDescent="0.3">
      <c r="B10" s="27" t="s">
        <v>49</v>
      </c>
      <c r="C10" s="28" t="s">
        <v>45</v>
      </c>
      <c r="D10" s="28" t="s">
        <v>46</v>
      </c>
      <c r="E10" s="29">
        <f>14*52</f>
        <v>728</v>
      </c>
      <c r="F10" s="28">
        <f t="shared" si="0"/>
        <v>364</v>
      </c>
      <c r="G10" s="28">
        <f t="shared" si="1"/>
        <v>728</v>
      </c>
      <c r="H10" s="28">
        <f>_xlfn.XLOOKUP(B10,'[1]Baseline 2025'!$B:$B,'[1]Baseline 2025'!$C:$C)</f>
        <v>158</v>
      </c>
      <c r="I10" s="28">
        <f t="shared" si="2"/>
        <v>115024</v>
      </c>
      <c r="J10" s="28" t="str">
        <f>_xlfn.XLOOKUP(B10,'[1]Baseline 2025'!$B:$B,'[1]Baseline 2025'!$E:$E)</f>
        <v>Short Haul</v>
      </c>
      <c r="K10" s="28">
        <f>_xlfn.XLOOKUP(B10,'[1]Baseline 2025'!$B:$B,'[1]Baseline 2025'!$I:$I)/100</f>
        <v>8442.7615999999998</v>
      </c>
      <c r="L10" s="28">
        <f t="shared" si="3"/>
        <v>844276.16</v>
      </c>
      <c r="M10" s="28">
        <f t="shared" si="4"/>
        <v>1.3</v>
      </c>
      <c r="N10" s="28">
        <f t="shared" si="5"/>
        <v>1097.5590080000002</v>
      </c>
      <c r="O10" s="28">
        <f t="shared" si="6"/>
        <v>8.9999999999999993E-3</v>
      </c>
      <c r="P10" s="106">
        <f t="shared" si="7"/>
        <v>7.5984854399999993</v>
      </c>
      <c r="Q10" s="105">
        <f t="shared" si="8"/>
        <v>2.9999999999999997E-5</v>
      </c>
      <c r="R10" s="106">
        <f t="shared" si="9"/>
        <v>2.53282848E-2</v>
      </c>
      <c r="S10">
        <v>100</v>
      </c>
      <c r="T10">
        <f>G10*S10*assumptions!$D$6</f>
        <v>61880</v>
      </c>
      <c r="U10">
        <v>10.9</v>
      </c>
      <c r="V10" s="57">
        <v>2.7777777777777776E-2</v>
      </c>
      <c r="W10" s="48">
        <v>579.86</v>
      </c>
      <c r="X10" s="51">
        <f>W10*assumptions!$D$8</f>
        <v>753.8180000000001</v>
      </c>
      <c r="Y10">
        <v>2</v>
      </c>
      <c r="Z10">
        <v>3</v>
      </c>
      <c r="AA10" s="58">
        <v>50</v>
      </c>
      <c r="AB10" s="49">
        <v>3.5</v>
      </c>
      <c r="AC10" s="51">
        <v>182</v>
      </c>
      <c r="AD10" s="51">
        <v>302</v>
      </c>
      <c r="AE10" s="51">
        <v>4662</v>
      </c>
      <c r="AF10" s="51">
        <v>5360</v>
      </c>
      <c r="AG10" s="51">
        <v>1340</v>
      </c>
      <c r="AH10" s="51">
        <v>419</v>
      </c>
      <c r="AI10" s="51">
        <v>2550</v>
      </c>
      <c r="AJ10" s="51">
        <v>1120</v>
      </c>
      <c r="AK10" s="51">
        <f t="shared" si="10"/>
        <v>16688.817999999999</v>
      </c>
      <c r="AL10" s="51">
        <v>4250</v>
      </c>
      <c r="AM10" s="51">
        <v>38150</v>
      </c>
      <c r="AN10" s="51">
        <f t="shared" si="11"/>
        <v>42400</v>
      </c>
      <c r="AO10" s="5"/>
    </row>
    <row r="11" spans="1:41" x14ac:dyDescent="0.3">
      <c r="B11" s="27" t="s">
        <v>50</v>
      </c>
      <c r="C11" s="28" t="s">
        <v>45</v>
      </c>
      <c r="D11" s="28" t="s">
        <v>46</v>
      </c>
      <c r="E11" s="29">
        <f>7*52*2</f>
        <v>728</v>
      </c>
      <c r="F11" s="28">
        <f t="shared" si="0"/>
        <v>364</v>
      </c>
      <c r="G11" s="28">
        <f t="shared" si="1"/>
        <v>728</v>
      </c>
      <c r="H11" s="28">
        <f>_xlfn.XLOOKUP(B11,'[1]Baseline 2025'!$B:$B,'[1]Baseline 2025'!$C:$C)</f>
        <v>561</v>
      </c>
      <c r="I11" s="28">
        <f t="shared" si="2"/>
        <v>408408</v>
      </c>
      <c r="J11" s="28" t="str">
        <f>_xlfn.XLOOKUP(B11,'[1]Baseline 2025'!$B:$B,'[1]Baseline 2025'!$E:$E)</f>
        <v>Short Haul</v>
      </c>
      <c r="K11" s="28">
        <f>_xlfn.XLOOKUP(B11,'[1]Baseline 2025'!$B:$B,'[1]Baseline 2025'!$I:$I)/100</f>
        <v>14988.573600000002</v>
      </c>
      <c r="L11" s="28">
        <f t="shared" si="3"/>
        <v>1498857.36</v>
      </c>
      <c r="M11" s="28">
        <f t="shared" si="4"/>
        <v>1.3</v>
      </c>
      <c r="N11" s="28">
        <f t="shared" si="5"/>
        <v>1948.5145680000003</v>
      </c>
      <c r="O11" s="28">
        <f t="shared" si="6"/>
        <v>8.9999999999999993E-3</v>
      </c>
      <c r="P11" s="106">
        <f t="shared" si="7"/>
        <v>13.48971624</v>
      </c>
      <c r="Q11" s="105">
        <f t="shared" si="8"/>
        <v>2.9999999999999997E-5</v>
      </c>
      <c r="R11" s="106">
        <f t="shared" si="9"/>
        <v>4.4965720799999997E-2</v>
      </c>
      <c r="S11">
        <v>100</v>
      </c>
      <c r="T11">
        <f>G11*S11*assumptions!$D$6</f>
        <v>61880</v>
      </c>
      <c r="U11">
        <v>10.9</v>
      </c>
      <c r="V11" s="57">
        <v>5.5555555555555552E-2</v>
      </c>
      <c r="W11" s="48">
        <v>2058.87</v>
      </c>
      <c r="X11" s="51">
        <f>W11*assumptions!$D$8</f>
        <v>2676.5309999999999</v>
      </c>
      <c r="Y11">
        <v>2</v>
      </c>
      <c r="Z11">
        <v>3</v>
      </c>
      <c r="AA11" s="58">
        <v>60</v>
      </c>
      <c r="AB11" s="49">
        <v>3.5</v>
      </c>
      <c r="AC11" s="51">
        <v>647</v>
      </c>
      <c r="AD11" s="51">
        <v>598.5</v>
      </c>
      <c r="AE11" s="51">
        <v>5267</v>
      </c>
      <c r="AF11" s="51">
        <v>10640</v>
      </c>
      <c r="AG11" s="51">
        <v>2660</v>
      </c>
      <c r="AH11" s="51">
        <v>831</v>
      </c>
      <c r="AI11" s="51">
        <v>2550</v>
      </c>
      <c r="AJ11" s="51">
        <v>1876</v>
      </c>
      <c r="AK11" s="51">
        <f t="shared" si="10"/>
        <v>27746.030999999999</v>
      </c>
      <c r="AL11" s="51">
        <v>5100</v>
      </c>
      <c r="AM11" s="51">
        <v>38150</v>
      </c>
      <c r="AN11" s="51">
        <f t="shared" si="11"/>
        <v>43250</v>
      </c>
      <c r="AO11" s="5"/>
    </row>
    <row r="12" spans="1:41" x14ac:dyDescent="0.3">
      <c r="B12" s="27" t="s">
        <v>51</v>
      </c>
      <c r="C12" s="28" t="s">
        <v>45</v>
      </c>
      <c r="D12" s="28" t="s">
        <v>46</v>
      </c>
      <c r="E12" s="29">
        <f t="shared" ref="E12:E20" si="12">7*52</f>
        <v>364</v>
      </c>
      <c r="F12" s="28">
        <f t="shared" si="0"/>
        <v>182</v>
      </c>
      <c r="G12" s="28">
        <f t="shared" si="1"/>
        <v>364</v>
      </c>
      <c r="H12" s="28">
        <f>_xlfn.XLOOKUP(B12,'[1]Baseline 2025'!$B:$B,'[1]Baseline 2025'!$C:$C)</f>
        <v>399</v>
      </c>
      <c r="I12" s="28">
        <f t="shared" si="2"/>
        <v>145236</v>
      </c>
      <c r="J12" s="28" t="str">
        <f>_xlfn.XLOOKUP(B12,'[1]Baseline 2025'!$B:$B,'[1]Baseline 2025'!$E:$E)</f>
        <v>Short Haul</v>
      </c>
      <c r="K12" s="28">
        <f>_xlfn.XLOOKUP(B12,'[1]Baseline 2025'!$B:$B,'[1]Baseline 2025'!$I:$I)/100</f>
        <v>10660.322399999999</v>
      </c>
      <c r="L12" s="28">
        <f t="shared" si="3"/>
        <v>1066032.24</v>
      </c>
      <c r="M12" s="28">
        <f t="shared" si="4"/>
        <v>1.3</v>
      </c>
      <c r="N12" s="28">
        <f t="shared" si="5"/>
        <v>1385.8419120000001</v>
      </c>
      <c r="O12" s="28">
        <f t="shared" si="6"/>
        <v>8.9999999999999993E-3</v>
      </c>
      <c r="P12" s="106">
        <f t="shared" si="7"/>
        <v>9.5942901599999981</v>
      </c>
      <c r="Q12" s="105">
        <f t="shared" si="8"/>
        <v>2.9999999999999997E-5</v>
      </c>
      <c r="R12" s="106">
        <f t="shared" si="9"/>
        <v>3.1980967200000002E-2</v>
      </c>
      <c r="S12">
        <v>100</v>
      </c>
      <c r="T12">
        <f>G12*S12*assumptions!$D$6</f>
        <v>30940</v>
      </c>
      <c r="U12">
        <v>10.9</v>
      </c>
      <c r="V12" s="57">
        <v>5.5555555555555552E-2</v>
      </c>
      <c r="W12" s="48">
        <v>1464.33</v>
      </c>
      <c r="X12" s="51">
        <f>W12*assumptions!$D$8</f>
        <v>1903.6289999999999</v>
      </c>
      <c r="Y12">
        <v>2</v>
      </c>
      <c r="Z12">
        <v>3</v>
      </c>
      <c r="AA12" s="58">
        <v>60</v>
      </c>
      <c r="AB12" s="49">
        <v>3.5</v>
      </c>
      <c r="AC12" s="51">
        <v>460</v>
      </c>
      <c r="AD12" s="51">
        <v>598.5</v>
      </c>
      <c r="AE12" s="51">
        <v>5024</v>
      </c>
      <c r="AF12" s="51">
        <v>10640</v>
      </c>
      <c r="AG12" s="51">
        <v>2660</v>
      </c>
      <c r="AH12" s="51">
        <v>831</v>
      </c>
      <c r="AI12" s="51">
        <v>2550</v>
      </c>
      <c r="AJ12" s="51">
        <v>1781</v>
      </c>
      <c r="AK12" s="51">
        <f t="shared" si="10"/>
        <v>26448.129000000001</v>
      </c>
      <c r="AL12" s="51">
        <v>5100</v>
      </c>
      <c r="AM12" s="51">
        <v>38150</v>
      </c>
      <c r="AN12" s="51">
        <f t="shared" si="11"/>
        <v>43250</v>
      </c>
      <c r="AO12" s="5"/>
    </row>
    <row r="13" spans="1:41" x14ac:dyDescent="0.3">
      <c r="B13" s="27" t="s">
        <v>52</v>
      </c>
      <c r="C13" s="28" t="s">
        <v>45</v>
      </c>
      <c r="D13" s="28" t="s">
        <v>46</v>
      </c>
      <c r="E13" s="29">
        <f t="shared" si="12"/>
        <v>364</v>
      </c>
      <c r="F13" s="28">
        <f t="shared" si="0"/>
        <v>182</v>
      </c>
      <c r="G13" s="28">
        <f t="shared" si="1"/>
        <v>364</v>
      </c>
      <c r="H13" s="28">
        <f>_xlfn.XLOOKUP(B13,'[1]Baseline 2025'!$B:$B,'[1]Baseline 2025'!$C:$C)</f>
        <v>753</v>
      </c>
      <c r="I13" s="28">
        <f t="shared" si="2"/>
        <v>274092</v>
      </c>
      <c r="J13" s="28" t="str">
        <f>_xlfn.XLOOKUP(B13,'[1]Baseline 2025'!$B:$B,'[1]Baseline 2025'!$E:$E)</f>
        <v>Short Haul</v>
      </c>
      <c r="K13" s="28">
        <f>_xlfn.XLOOKUP(B13,'[1]Baseline 2025'!$B:$B,'[1]Baseline 2025'!$I:$I)/100</f>
        <v>20118.352800000001</v>
      </c>
      <c r="L13" s="28">
        <f t="shared" si="3"/>
        <v>2011835.28</v>
      </c>
      <c r="M13" s="28">
        <f t="shared" si="4"/>
        <v>1.3</v>
      </c>
      <c r="N13" s="28">
        <f t="shared" si="5"/>
        <v>2615.3858639999999</v>
      </c>
      <c r="O13" s="28">
        <f t="shared" si="6"/>
        <v>8.9999999999999993E-3</v>
      </c>
      <c r="P13" s="106">
        <f t="shared" si="7"/>
        <v>18.106517519999997</v>
      </c>
      <c r="Q13" s="105">
        <f t="shared" si="8"/>
        <v>2.9999999999999997E-5</v>
      </c>
      <c r="R13" s="106">
        <f t="shared" si="9"/>
        <v>6.0355058399999995E-2</v>
      </c>
      <c r="S13">
        <v>100</v>
      </c>
      <c r="T13">
        <f>G13*S13*assumptions!$D$6</f>
        <v>30940</v>
      </c>
      <c r="U13">
        <v>10.9</v>
      </c>
      <c r="V13" s="57">
        <v>6.9444444444444448E-2</v>
      </c>
      <c r="W13" s="48">
        <v>2763.5099999999998</v>
      </c>
      <c r="X13" s="51">
        <f>W13*assumptions!$D$8</f>
        <v>3592.5629999999996</v>
      </c>
      <c r="Y13">
        <v>2</v>
      </c>
      <c r="Z13">
        <v>3</v>
      </c>
      <c r="AA13" s="58">
        <v>67</v>
      </c>
      <c r="AB13" s="49">
        <v>3.5</v>
      </c>
      <c r="AC13" s="51">
        <v>868</v>
      </c>
      <c r="AD13" s="51">
        <v>480</v>
      </c>
      <c r="AE13" s="51">
        <v>5555</v>
      </c>
      <c r="AF13" s="51">
        <v>8534</v>
      </c>
      <c r="AG13" s="51">
        <v>2133</v>
      </c>
      <c r="AH13" s="51">
        <v>667</v>
      </c>
      <c r="AI13" s="51">
        <v>2550</v>
      </c>
      <c r="AJ13" s="51">
        <v>1779</v>
      </c>
      <c r="AK13" s="51">
        <f t="shared" si="10"/>
        <v>26158.563000000002</v>
      </c>
      <c r="AL13" s="51">
        <v>5695</v>
      </c>
      <c r="AM13" s="51">
        <v>38150</v>
      </c>
      <c r="AN13" s="51">
        <f t="shared" si="11"/>
        <v>43845</v>
      </c>
      <c r="AO13" s="5"/>
    </row>
    <row r="14" spans="1:41" x14ac:dyDescent="0.3">
      <c r="B14" s="27" t="s">
        <v>53</v>
      </c>
      <c r="C14" s="28" t="s">
        <v>45</v>
      </c>
      <c r="D14" s="28" t="s">
        <v>46</v>
      </c>
      <c r="E14" s="29">
        <f t="shared" si="12"/>
        <v>364</v>
      </c>
      <c r="F14" s="28">
        <f t="shared" si="0"/>
        <v>182</v>
      </c>
      <c r="G14" s="28">
        <f t="shared" si="1"/>
        <v>364</v>
      </c>
      <c r="H14" s="28">
        <f>_xlfn.XLOOKUP(B14,'[1]Baseline 2025'!$B:$B,'[1]Baseline 2025'!$C:$C)</f>
        <v>1970</v>
      </c>
      <c r="I14" s="28">
        <f t="shared" si="2"/>
        <v>717080</v>
      </c>
      <c r="J14" s="28" t="str">
        <f>_xlfn.XLOOKUP(B14,'[1]Baseline 2025'!$B:$B,'[1]Baseline 2025'!$E:$E)</f>
        <v>Short Haul</v>
      </c>
      <c r="K14" s="28">
        <f>_xlfn.XLOOKUP(B14,'[1]Baseline 2025'!$B:$B,'[1]Baseline 2025'!$I:$I)/100</f>
        <v>52633.671999999991</v>
      </c>
      <c r="L14" s="28">
        <f t="shared" si="3"/>
        <v>5263367.1999999993</v>
      </c>
      <c r="M14" s="28">
        <f t="shared" si="4"/>
        <v>1.3</v>
      </c>
      <c r="N14" s="28">
        <f t="shared" si="5"/>
        <v>6842.3773599999995</v>
      </c>
      <c r="O14" s="28">
        <f t="shared" si="6"/>
        <v>8.9999999999999993E-3</v>
      </c>
      <c r="P14" s="106">
        <f t="shared" si="7"/>
        <v>47.370304799999992</v>
      </c>
      <c r="Q14" s="105">
        <f t="shared" si="8"/>
        <v>2.9999999999999997E-5</v>
      </c>
      <c r="R14" s="106">
        <f t="shared" si="9"/>
        <v>0.15790101599999998</v>
      </c>
      <c r="S14">
        <v>100</v>
      </c>
      <c r="T14">
        <f>G14*S14*assumptions!$D$6</f>
        <v>30940</v>
      </c>
      <c r="U14">
        <v>10.9</v>
      </c>
      <c r="V14" s="57">
        <v>0.125</v>
      </c>
      <c r="W14" s="48">
        <v>7229.9</v>
      </c>
      <c r="X14" s="51">
        <f>W14*assumptions!$D$8</f>
        <v>9398.869999999999</v>
      </c>
      <c r="Y14">
        <v>2</v>
      </c>
      <c r="Z14">
        <v>3</v>
      </c>
      <c r="AA14" s="58">
        <v>285</v>
      </c>
      <c r="AB14" s="49">
        <v>3.5</v>
      </c>
      <c r="AC14" s="51">
        <v>2270</v>
      </c>
      <c r="AD14" s="51">
        <v>1350</v>
      </c>
      <c r="AE14" s="51">
        <v>7380</v>
      </c>
      <c r="AF14" s="51">
        <v>24000</v>
      </c>
      <c r="AG14" s="51">
        <v>6000</v>
      </c>
      <c r="AH14" s="51">
        <v>1875</v>
      </c>
      <c r="AI14" s="51">
        <v>2550</v>
      </c>
      <c r="AJ14" s="51">
        <v>4014</v>
      </c>
      <c r="AK14" s="51">
        <f t="shared" si="10"/>
        <v>58837.869999999995</v>
      </c>
      <c r="AL14" s="51">
        <v>24225</v>
      </c>
      <c r="AM14" s="51">
        <v>38150</v>
      </c>
      <c r="AN14" s="51">
        <f t="shared" si="11"/>
        <v>62375</v>
      </c>
      <c r="AO14" s="5"/>
    </row>
    <row r="15" spans="1:41" x14ac:dyDescent="0.3">
      <c r="B15" s="27" t="s">
        <v>54</v>
      </c>
      <c r="C15" s="28" t="s">
        <v>45</v>
      </c>
      <c r="D15" s="28" t="s">
        <v>46</v>
      </c>
      <c r="E15" s="29">
        <f t="shared" si="12"/>
        <v>364</v>
      </c>
      <c r="F15" s="28">
        <f t="shared" si="0"/>
        <v>182</v>
      </c>
      <c r="G15" s="28">
        <f t="shared" si="1"/>
        <v>364</v>
      </c>
      <c r="H15" s="28">
        <f>_xlfn.XLOOKUP(B15,'[1]Baseline 2025'!$B:$B,'[1]Baseline 2025'!$C:$C)</f>
        <v>1848</v>
      </c>
      <c r="I15" s="28">
        <f t="shared" si="2"/>
        <v>672672</v>
      </c>
      <c r="J15" s="28" t="str">
        <f>_xlfn.XLOOKUP(B15,'[1]Baseline 2025'!$B:$B,'[1]Baseline 2025'!$E:$E)</f>
        <v>Short Haul</v>
      </c>
      <c r="K15" s="28">
        <f>_xlfn.XLOOKUP(B15,'[1]Baseline 2025'!$B:$B,'[1]Baseline 2025'!$I:$I)/100</f>
        <v>49374.124799999998</v>
      </c>
      <c r="L15" s="28">
        <f t="shared" si="3"/>
        <v>4937412.4799999995</v>
      </c>
      <c r="M15" s="28">
        <f t="shared" si="4"/>
        <v>1.3</v>
      </c>
      <c r="N15" s="28">
        <f t="shared" si="5"/>
        <v>6418.6362239999999</v>
      </c>
      <c r="O15" s="28">
        <f t="shared" si="6"/>
        <v>8.9999999999999993E-3</v>
      </c>
      <c r="P15" s="106">
        <f t="shared" si="7"/>
        <v>44.436712319999991</v>
      </c>
      <c r="Q15" s="105">
        <f t="shared" si="8"/>
        <v>2.9999999999999997E-5</v>
      </c>
      <c r="R15" s="106">
        <f t="shared" si="9"/>
        <v>0.14812237439999998</v>
      </c>
      <c r="S15">
        <v>100</v>
      </c>
      <c r="T15">
        <f>G15*S15*assumptions!$D$6</f>
        <v>30940</v>
      </c>
      <c r="U15">
        <v>10.9</v>
      </c>
      <c r="V15" s="57">
        <v>0.13194444444444445</v>
      </c>
      <c r="W15" s="48">
        <v>6782.16</v>
      </c>
      <c r="X15" s="51">
        <f>W15*assumptions!$D$8</f>
        <v>8816.8080000000009</v>
      </c>
      <c r="Y15">
        <v>2</v>
      </c>
      <c r="Z15">
        <v>3</v>
      </c>
      <c r="AA15" s="58">
        <v>308</v>
      </c>
      <c r="AB15" s="49">
        <v>3.5</v>
      </c>
      <c r="AC15" s="51">
        <v>2130</v>
      </c>
      <c r="AD15" s="51">
        <v>1425</v>
      </c>
      <c r="AE15" s="51">
        <v>7197</v>
      </c>
      <c r="AF15" s="51">
        <v>25334</v>
      </c>
      <c r="AG15" s="51">
        <v>6333</v>
      </c>
      <c r="AH15" s="51">
        <v>1979</v>
      </c>
      <c r="AI15" s="51">
        <v>2550</v>
      </c>
      <c r="AJ15" s="51">
        <v>4075</v>
      </c>
      <c r="AK15" s="51">
        <f t="shared" si="10"/>
        <v>59839.808000000005</v>
      </c>
      <c r="AL15" s="51">
        <v>26180</v>
      </c>
      <c r="AM15" s="51">
        <v>38150</v>
      </c>
      <c r="AN15" s="51">
        <f t="shared" si="11"/>
        <v>64330</v>
      </c>
      <c r="AO15" s="5"/>
    </row>
    <row r="16" spans="1:41" x14ac:dyDescent="0.3">
      <c r="B16" s="27" t="s">
        <v>55</v>
      </c>
      <c r="C16" s="28" t="s">
        <v>45</v>
      </c>
      <c r="D16" s="28" t="s">
        <v>46</v>
      </c>
      <c r="E16" s="29">
        <f t="shared" si="12"/>
        <v>364</v>
      </c>
      <c r="F16" s="28">
        <f t="shared" si="0"/>
        <v>182</v>
      </c>
      <c r="G16" s="28">
        <f t="shared" si="1"/>
        <v>364</v>
      </c>
      <c r="H16" s="28">
        <f>_xlfn.XLOOKUP(B16,'[1]Baseline 2025'!$B:$B,'[1]Baseline 2025'!$C:$C)</f>
        <v>665</v>
      </c>
      <c r="I16" s="28">
        <f t="shared" si="2"/>
        <v>242060</v>
      </c>
      <c r="J16" s="28" t="str">
        <f>_xlfn.XLOOKUP(B16,'[1]Baseline 2025'!$B:$B,'[1]Baseline 2025'!$E:$E)</f>
        <v>Short Haul</v>
      </c>
      <c r="K16" s="28">
        <f>_xlfn.XLOOKUP(B16,'[1]Baseline 2025'!$B:$B,'[1]Baseline 2025'!$I:$I)/100</f>
        <v>17767.203999999998</v>
      </c>
      <c r="L16" s="28">
        <f t="shared" si="3"/>
        <v>1776720.4</v>
      </c>
      <c r="M16" s="28">
        <f t="shared" si="4"/>
        <v>1.3</v>
      </c>
      <c r="N16" s="28">
        <f t="shared" si="5"/>
        <v>2309.7365199999999</v>
      </c>
      <c r="O16" s="28">
        <f t="shared" si="6"/>
        <v>8.9999999999999993E-3</v>
      </c>
      <c r="P16" s="106">
        <f t="shared" si="7"/>
        <v>15.990483599999997</v>
      </c>
      <c r="Q16" s="105">
        <f t="shared" si="8"/>
        <v>2.9999999999999997E-5</v>
      </c>
      <c r="R16" s="106">
        <f t="shared" si="9"/>
        <v>5.3301611999999991E-2</v>
      </c>
      <c r="S16">
        <v>100</v>
      </c>
      <c r="T16">
        <f>G16*S16*assumptions!$D$6</f>
        <v>30940</v>
      </c>
      <c r="U16">
        <v>10.9</v>
      </c>
      <c r="V16" s="57">
        <v>5.9027777777777776E-2</v>
      </c>
      <c r="W16" s="48">
        <v>2440.5499999999997</v>
      </c>
      <c r="X16" s="51">
        <f>W16*assumptions!$D$8</f>
        <v>3172.7149999999997</v>
      </c>
      <c r="Y16">
        <v>2</v>
      </c>
      <c r="Z16">
        <v>3</v>
      </c>
      <c r="AA16" s="58">
        <v>65</v>
      </c>
      <c r="AB16" s="49">
        <v>3.5</v>
      </c>
      <c r="AC16" s="51">
        <v>766</v>
      </c>
      <c r="AD16" s="51">
        <v>639</v>
      </c>
      <c r="AE16" s="51">
        <v>5423</v>
      </c>
      <c r="AF16" s="51">
        <v>11360</v>
      </c>
      <c r="AG16" s="51">
        <v>2840</v>
      </c>
      <c r="AH16" s="51">
        <v>888</v>
      </c>
      <c r="AI16" s="51">
        <v>2550</v>
      </c>
      <c r="AJ16" s="51">
        <v>2007</v>
      </c>
      <c r="AK16" s="51">
        <f t="shared" si="10"/>
        <v>29645.715</v>
      </c>
      <c r="AL16" s="51">
        <v>5525</v>
      </c>
      <c r="AM16" s="51">
        <v>38150</v>
      </c>
      <c r="AN16" s="51">
        <f t="shared" si="11"/>
        <v>43675</v>
      </c>
      <c r="AO16" s="5"/>
    </row>
    <row r="17" spans="2:41" x14ac:dyDescent="0.3">
      <c r="B17" s="27" t="s">
        <v>56</v>
      </c>
      <c r="C17" s="28" t="s">
        <v>45</v>
      </c>
      <c r="D17" s="28" t="s">
        <v>46</v>
      </c>
      <c r="E17" s="29">
        <f t="shared" si="12"/>
        <v>364</v>
      </c>
      <c r="F17" s="28">
        <f t="shared" si="0"/>
        <v>182</v>
      </c>
      <c r="G17" s="28">
        <f t="shared" si="1"/>
        <v>364</v>
      </c>
      <c r="H17" s="28">
        <f>_xlfn.XLOOKUP(B17,'[1]Baseline 2025'!$B:$B,'[1]Baseline 2025'!$C:$C)</f>
        <v>961</v>
      </c>
      <c r="I17" s="28">
        <f t="shared" si="2"/>
        <v>349804</v>
      </c>
      <c r="J17" s="28" t="str">
        <f>_xlfn.XLOOKUP(B17,'[1]Baseline 2025'!$B:$B,'[1]Baseline 2025'!$E:$E)</f>
        <v>Short Haul</v>
      </c>
      <c r="K17" s="28">
        <f>_xlfn.XLOOKUP(B17,'[1]Baseline 2025'!$B:$B,'[1]Baseline 2025'!$I:$I)/100</f>
        <v>25675.613599999997</v>
      </c>
      <c r="L17" s="28">
        <f t="shared" si="3"/>
        <v>2567561.36</v>
      </c>
      <c r="M17" s="28">
        <f t="shared" si="4"/>
        <v>1.3</v>
      </c>
      <c r="N17" s="28">
        <f t="shared" si="5"/>
        <v>3337.8297680000001</v>
      </c>
      <c r="O17" s="28">
        <f t="shared" si="6"/>
        <v>8.9999999999999993E-3</v>
      </c>
      <c r="P17" s="106">
        <f t="shared" si="7"/>
        <v>23.108052239999996</v>
      </c>
      <c r="Q17" s="105">
        <f t="shared" si="8"/>
        <v>2.9999999999999997E-5</v>
      </c>
      <c r="R17" s="106">
        <f t="shared" si="9"/>
        <v>7.7026840799999982E-2</v>
      </c>
      <c r="S17">
        <v>100</v>
      </c>
      <c r="T17">
        <f>G17*S17*assumptions!$D$6</f>
        <v>30940</v>
      </c>
      <c r="U17">
        <v>10.9</v>
      </c>
      <c r="V17" s="57">
        <v>7.2916666666666671E-2</v>
      </c>
      <c r="W17" s="48">
        <v>3526.87</v>
      </c>
      <c r="X17" s="51">
        <f>W17*assumptions!$D$8</f>
        <v>4584.9309999999996</v>
      </c>
      <c r="Y17">
        <v>2</v>
      </c>
      <c r="Z17">
        <v>3</v>
      </c>
      <c r="AA17" s="58">
        <v>70</v>
      </c>
      <c r="AB17" s="49">
        <v>3.5</v>
      </c>
      <c r="AC17" s="51">
        <v>1107</v>
      </c>
      <c r="AD17" s="51">
        <v>787.5</v>
      </c>
      <c r="AE17" s="51">
        <v>5867</v>
      </c>
      <c r="AF17" s="51">
        <v>14000</v>
      </c>
      <c r="AG17" s="51">
        <v>3500</v>
      </c>
      <c r="AH17" s="51">
        <v>1094</v>
      </c>
      <c r="AI17" s="51">
        <v>2550</v>
      </c>
      <c r="AJ17" s="51">
        <v>2440</v>
      </c>
      <c r="AK17" s="51">
        <f t="shared" si="10"/>
        <v>35930.430999999997</v>
      </c>
      <c r="AL17" s="51">
        <v>5950</v>
      </c>
      <c r="AM17" s="51">
        <v>38150</v>
      </c>
      <c r="AN17" s="51">
        <f t="shared" si="11"/>
        <v>44100</v>
      </c>
      <c r="AO17" s="5"/>
    </row>
    <row r="18" spans="2:41" x14ac:dyDescent="0.3">
      <c r="B18" s="27" t="s">
        <v>57</v>
      </c>
      <c r="C18" s="28" t="s">
        <v>45</v>
      </c>
      <c r="D18" s="28" t="s">
        <v>46</v>
      </c>
      <c r="E18" s="29">
        <f t="shared" si="12"/>
        <v>364</v>
      </c>
      <c r="F18" s="28">
        <f t="shared" si="0"/>
        <v>182</v>
      </c>
      <c r="G18" s="28">
        <f t="shared" si="1"/>
        <v>364</v>
      </c>
      <c r="H18" s="28">
        <f>_xlfn.XLOOKUP(B18,'[1]Baseline 2025'!$B:$B,'[1]Baseline 2025'!$C:$C)</f>
        <v>1426</v>
      </c>
      <c r="I18" s="28">
        <f t="shared" si="2"/>
        <v>519064</v>
      </c>
      <c r="J18" s="28" t="str">
        <f>_xlfn.XLOOKUP(B18,'[1]Baseline 2025'!$B:$B,'[1]Baseline 2025'!$E:$E)</f>
        <v>Short Haul</v>
      </c>
      <c r="K18" s="28">
        <f>_xlfn.XLOOKUP(B18,'[1]Baseline 2025'!$B:$B,'[1]Baseline 2025'!$I:$I)/100</f>
        <v>38099.297600000005</v>
      </c>
      <c r="L18" s="28">
        <f t="shared" si="3"/>
        <v>3809929.7600000007</v>
      </c>
      <c r="M18" s="28">
        <f t="shared" si="4"/>
        <v>1.3</v>
      </c>
      <c r="N18" s="28">
        <f t="shared" si="5"/>
        <v>4952.9086880000013</v>
      </c>
      <c r="O18" s="28">
        <f t="shared" si="6"/>
        <v>8.9999999999999993E-3</v>
      </c>
      <c r="P18" s="106">
        <f t="shared" si="7"/>
        <v>34.289367840000004</v>
      </c>
      <c r="Q18" s="105">
        <f t="shared" si="8"/>
        <v>2.9999999999999997E-5</v>
      </c>
      <c r="R18" s="106">
        <f t="shared" si="9"/>
        <v>0.11429789280000001</v>
      </c>
      <c r="S18">
        <v>100</v>
      </c>
      <c r="T18">
        <f>G18*S18*assumptions!$D$6</f>
        <v>30940</v>
      </c>
      <c r="U18">
        <v>10.9</v>
      </c>
      <c r="V18" s="57">
        <v>0.10069444444444445</v>
      </c>
      <c r="W18" s="48">
        <v>5233.42</v>
      </c>
      <c r="X18" s="51">
        <f>W18*assumptions!$D$8</f>
        <v>6803.4459999999999</v>
      </c>
      <c r="Y18">
        <v>2</v>
      </c>
      <c r="Z18">
        <v>3</v>
      </c>
      <c r="AA18" s="58">
        <v>170</v>
      </c>
      <c r="AB18" s="49">
        <v>3.5</v>
      </c>
      <c r="AC18" s="51">
        <v>1643</v>
      </c>
      <c r="AD18" s="51">
        <v>1089</v>
      </c>
      <c r="AE18" s="51">
        <v>6564</v>
      </c>
      <c r="AF18" s="51">
        <v>19360</v>
      </c>
      <c r="AG18" s="51">
        <v>4840</v>
      </c>
      <c r="AH18" s="51">
        <v>1513</v>
      </c>
      <c r="AI18" s="51">
        <v>2550</v>
      </c>
      <c r="AJ18" s="51">
        <v>3239</v>
      </c>
      <c r="AK18" s="51">
        <f t="shared" si="10"/>
        <v>47601.445999999996</v>
      </c>
      <c r="AL18" s="51">
        <v>14450</v>
      </c>
      <c r="AM18" s="51">
        <v>38150</v>
      </c>
      <c r="AN18" s="51">
        <f t="shared" si="11"/>
        <v>52600</v>
      </c>
      <c r="AO18" s="5"/>
    </row>
    <row r="19" spans="2:41" x14ac:dyDescent="0.3">
      <c r="B19" s="27" t="s">
        <v>58</v>
      </c>
      <c r="C19" s="28" t="s">
        <v>45</v>
      </c>
      <c r="D19" s="28" t="s">
        <v>46</v>
      </c>
      <c r="E19" s="29">
        <f t="shared" si="12"/>
        <v>364</v>
      </c>
      <c r="F19" s="28">
        <f t="shared" si="0"/>
        <v>182</v>
      </c>
      <c r="G19" s="28">
        <f t="shared" si="1"/>
        <v>364</v>
      </c>
      <c r="H19" s="28">
        <f>_xlfn.XLOOKUP(B19,'[1]Baseline 2025'!$B:$B,'[1]Baseline 2025'!$C:$C)</f>
        <v>962</v>
      </c>
      <c r="I19" s="28">
        <f t="shared" si="2"/>
        <v>350168</v>
      </c>
      <c r="J19" s="28" t="str">
        <f>_xlfn.XLOOKUP(B19,'[1]Baseline 2025'!$B:$B,'[1]Baseline 2025'!$E:$E)</f>
        <v>Short Haul</v>
      </c>
      <c r="K19" s="28">
        <f>_xlfn.XLOOKUP(B19,'[1]Baseline 2025'!$B:$B,'[1]Baseline 2025'!$I:$I)/100</f>
        <v>25702.331200000001</v>
      </c>
      <c r="L19" s="28">
        <f t="shared" si="3"/>
        <v>2570233.12</v>
      </c>
      <c r="M19" s="28">
        <f t="shared" si="4"/>
        <v>1.3</v>
      </c>
      <c r="N19" s="28">
        <f t="shared" si="5"/>
        <v>3341.3030560000002</v>
      </c>
      <c r="O19" s="28">
        <f t="shared" si="6"/>
        <v>8.9999999999999993E-3</v>
      </c>
      <c r="P19" s="106">
        <f t="shared" si="7"/>
        <v>23.132098079999999</v>
      </c>
      <c r="Q19" s="105">
        <f t="shared" si="8"/>
        <v>2.9999999999999997E-5</v>
      </c>
      <c r="R19" s="106">
        <f t="shared" si="9"/>
        <v>7.7106993599999993E-2</v>
      </c>
      <c r="S19">
        <v>100</v>
      </c>
      <c r="T19">
        <f>G19*S19*assumptions!$D$6</f>
        <v>30940</v>
      </c>
      <c r="U19">
        <v>10.9</v>
      </c>
      <c r="V19" s="57">
        <v>7.2916666666666671E-2</v>
      </c>
      <c r="W19" s="48">
        <v>3530.54</v>
      </c>
      <c r="X19" s="51">
        <f>W19*assumptions!$D$8</f>
        <v>4589.7020000000002</v>
      </c>
      <c r="Y19">
        <v>2</v>
      </c>
      <c r="Z19">
        <v>3</v>
      </c>
      <c r="AA19" s="58">
        <v>80.599999999999994</v>
      </c>
      <c r="AB19" s="49">
        <v>3.5</v>
      </c>
      <c r="AC19" s="51">
        <v>1109</v>
      </c>
      <c r="AD19" s="51">
        <v>787.5</v>
      </c>
      <c r="AE19" s="51">
        <v>5868</v>
      </c>
      <c r="AF19" s="51">
        <v>14000</v>
      </c>
      <c r="AG19" s="51">
        <v>3500</v>
      </c>
      <c r="AH19" s="51">
        <v>1094</v>
      </c>
      <c r="AI19" s="51">
        <v>2550</v>
      </c>
      <c r="AJ19" s="51">
        <v>2441</v>
      </c>
      <c r="AK19" s="51">
        <f t="shared" si="10"/>
        <v>35939.202000000005</v>
      </c>
      <c r="AL19" s="51">
        <v>6851</v>
      </c>
      <c r="AM19" s="51">
        <v>38150</v>
      </c>
      <c r="AN19" s="51">
        <f t="shared" si="11"/>
        <v>45001</v>
      </c>
      <c r="AO19" s="5"/>
    </row>
    <row r="20" spans="2:41" x14ac:dyDescent="0.3">
      <c r="B20" s="27" t="s">
        <v>59</v>
      </c>
      <c r="C20" s="28" t="s">
        <v>45</v>
      </c>
      <c r="D20" s="28" t="s">
        <v>46</v>
      </c>
      <c r="E20" s="29">
        <f t="shared" si="12"/>
        <v>364</v>
      </c>
      <c r="F20" s="28">
        <f t="shared" si="0"/>
        <v>182</v>
      </c>
      <c r="G20" s="28">
        <f t="shared" si="1"/>
        <v>364</v>
      </c>
      <c r="H20" s="28">
        <f>_xlfn.XLOOKUP(B20,'[1]Baseline 2025'!$B:$B,'[1]Baseline 2025'!$C:$C)</f>
        <v>1105</v>
      </c>
      <c r="I20" s="28">
        <f t="shared" si="2"/>
        <v>402220</v>
      </c>
      <c r="J20" s="28" t="str">
        <f>_xlfn.XLOOKUP(B20,'[1]Baseline 2025'!$B:$B,'[1]Baseline 2025'!$E:$E)</f>
        <v>Short Haul</v>
      </c>
      <c r="K20" s="28">
        <f>_xlfn.XLOOKUP(B20,'[1]Baseline 2025'!$B:$B,'[1]Baseline 2025'!$I:$I)/100</f>
        <v>29522.948000000004</v>
      </c>
      <c r="L20" s="28">
        <f t="shared" si="3"/>
        <v>2952294.8000000003</v>
      </c>
      <c r="M20" s="28">
        <f t="shared" si="4"/>
        <v>1.3</v>
      </c>
      <c r="N20" s="28">
        <f t="shared" si="5"/>
        <v>3837.9832400000005</v>
      </c>
      <c r="O20" s="28">
        <f t="shared" si="6"/>
        <v>8.9999999999999993E-3</v>
      </c>
      <c r="P20" s="106">
        <f t="shared" si="7"/>
        <v>26.570653200000002</v>
      </c>
      <c r="Q20" s="105">
        <f t="shared" si="8"/>
        <v>2.9999999999999997E-5</v>
      </c>
      <c r="R20" s="106">
        <f t="shared" si="9"/>
        <v>8.8568843999999994E-2</v>
      </c>
      <c r="S20">
        <v>100</v>
      </c>
      <c r="T20">
        <f>G20*S20*assumptions!$D$6</f>
        <v>30940</v>
      </c>
      <c r="U20">
        <v>10.9</v>
      </c>
      <c r="V20" s="57">
        <v>7.9861111111111105E-2</v>
      </c>
      <c r="W20" s="48">
        <v>4055.35</v>
      </c>
      <c r="X20" s="51">
        <f>W20*assumptions!$D$8</f>
        <v>5271.9549999999999</v>
      </c>
      <c r="Y20">
        <v>2</v>
      </c>
      <c r="Z20">
        <v>3</v>
      </c>
      <c r="AA20" s="58">
        <v>87.75</v>
      </c>
      <c r="AB20" s="49">
        <v>3.5</v>
      </c>
      <c r="AC20" s="51">
        <v>1273</v>
      </c>
      <c r="AD20" s="51">
        <v>864</v>
      </c>
      <c r="AE20" s="51">
        <v>6083</v>
      </c>
      <c r="AF20" s="51">
        <v>15360</v>
      </c>
      <c r="AG20" s="51">
        <v>3840</v>
      </c>
      <c r="AH20" s="51">
        <v>1200</v>
      </c>
      <c r="AI20" s="51">
        <v>2550</v>
      </c>
      <c r="AJ20" s="51">
        <v>2658</v>
      </c>
      <c r="AK20" s="51">
        <f t="shared" si="10"/>
        <v>39099.955000000002</v>
      </c>
      <c r="AL20" s="51">
        <v>7458.75</v>
      </c>
      <c r="AM20" s="51">
        <v>38150</v>
      </c>
      <c r="AN20" s="51">
        <f t="shared" si="11"/>
        <v>45608.75</v>
      </c>
      <c r="AO20" s="5"/>
    </row>
    <row r="21" spans="2:41" x14ac:dyDescent="0.3">
      <c r="B21" s="27" t="s">
        <v>60</v>
      </c>
      <c r="C21" s="28" t="s">
        <v>45</v>
      </c>
      <c r="D21" s="28" t="s">
        <v>46</v>
      </c>
      <c r="E21" s="29">
        <f>14*52*2</f>
        <v>1456</v>
      </c>
      <c r="F21" s="28">
        <f t="shared" si="0"/>
        <v>728</v>
      </c>
      <c r="G21" s="28">
        <f t="shared" si="1"/>
        <v>1456</v>
      </c>
      <c r="H21" s="28">
        <f>_xlfn.XLOOKUP(B21,'[1]Baseline 2025'!$B:$B,'[1]Baseline 2025'!$C:$C)</f>
        <v>603</v>
      </c>
      <c r="I21" s="28">
        <f t="shared" si="2"/>
        <v>877968</v>
      </c>
      <c r="J21" s="28" t="str">
        <f>_xlfn.XLOOKUP(B21,'[1]Baseline 2025'!$B:$B,'[1]Baseline 2025'!$E:$E)</f>
        <v>Short Haul</v>
      </c>
      <c r="K21" s="28">
        <f>_xlfn.XLOOKUP(B21,'[1]Baseline 2025'!$B:$B,'[1]Baseline 2025'!$I:$I)/100</f>
        <v>32221.425599999995</v>
      </c>
      <c r="L21" s="28">
        <f t="shared" si="3"/>
        <v>3222142.5599999996</v>
      </c>
      <c r="M21" s="28">
        <f t="shared" si="4"/>
        <v>1.3</v>
      </c>
      <c r="N21" s="28">
        <f t="shared" si="5"/>
        <v>4188.7853279999999</v>
      </c>
      <c r="O21" s="28">
        <f t="shared" si="6"/>
        <v>8.9999999999999993E-3</v>
      </c>
      <c r="P21" s="106">
        <f t="shared" si="7"/>
        <v>28.999283039999995</v>
      </c>
      <c r="Q21" s="105">
        <f t="shared" si="8"/>
        <v>2.9999999999999997E-5</v>
      </c>
      <c r="R21" s="106">
        <f t="shared" si="9"/>
        <v>9.6664276799999976E-2</v>
      </c>
      <c r="S21">
        <v>100</v>
      </c>
      <c r="T21">
        <f>G21*S21*assumptions!$D$6</f>
        <v>123760</v>
      </c>
      <c r="U21">
        <v>10.9</v>
      </c>
      <c r="V21" s="57">
        <v>5.9027777777777776E-2</v>
      </c>
      <c r="W21" s="48">
        <v>2213.0099999999998</v>
      </c>
      <c r="X21" s="51">
        <f>W21*assumptions!$D$8</f>
        <v>2876.913</v>
      </c>
      <c r="Y21">
        <v>2</v>
      </c>
      <c r="Z21">
        <v>3</v>
      </c>
      <c r="AA21" s="58">
        <v>65</v>
      </c>
      <c r="AB21" s="49">
        <v>3.5</v>
      </c>
      <c r="AC21" s="51">
        <v>695</v>
      </c>
      <c r="AD21" s="51">
        <v>639</v>
      </c>
      <c r="AE21" s="51">
        <v>5330</v>
      </c>
      <c r="AF21" s="51">
        <v>11360</v>
      </c>
      <c r="AG21" s="51">
        <v>2840</v>
      </c>
      <c r="AH21" s="51">
        <v>888</v>
      </c>
      <c r="AI21" s="51">
        <v>2550</v>
      </c>
      <c r="AJ21" s="51">
        <v>1971</v>
      </c>
      <c r="AK21" s="51">
        <f t="shared" si="10"/>
        <v>29149.913</v>
      </c>
      <c r="AL21" s="51">
        <v>4250</v>
      </c>
      <c r="AM21" s="51">
        <v>38150</v>
      </c>
      <c r="AN21" s="51">
        <f t="shared" si="11"/>
        <v>42400</v>
      </c>
      <c r="AO21" s="5"/>
    </row>
    <row r="22" spans="2:41" x14ac:dyDescent="0.3">
      <c r="B22" s="61" t="s">
        <v>61</v>
      </c>
      <c r="C22" s="24" t="s">
        <v>62</v>
      </c>
      <c r="D22" s="24" t="s">
        <v>46</v>
      </c>
      <c r="E22" s="25">
        <f>3*52*2</f>
        <v>312</v>
      </c>
      <c r="F22" s="24">
        <f t="shared" si="0"/>
        <v>156</v>
      </c>
      <c r="G22" s="24">
        <f t="shared" si="1"/>
        <v>312</v>
      </c>
      <c r="H22" s="24">
        <f>_xlfn.XLOOKUP(B22,'[1]Baseline 2025'!$B:$B,'[1]Baseline 2025'!$C:$C)</f>
        <v>9217</v>
      </c>
      <c r="I22" s="24">
        <f t="shared" si="2"/>
        <v>2875704</v>
      </c>
      <c r="J22" s="24" t="str">
        <f>_xlfn.XLOOKUP(B22,'[1]Baseline 2025'!$B:$B,'[1]Baseline 2025'!$E:$E)</f>
        <v>Long Haul</v>
      </c>
      <c r="K22" s="24">
        <f>_xlfn.XLOOKUP(B22,'[1]Baseline 2025'!$B:$B,'[1]Baseline 2025'!$I:$I)/100</f>
        <v>213377.23679999998</v>
      </c>
      <c r="L22" s="24">
        <f t="shared" si="3"/>
        <v>21337723.68</v>
      </c>
      <c r="M22" s="28">
        <f t="shared" si="4"/>
        <v>1.3</v>
      </c>
      <c r="N22" s="24">
        <f t="shared" si="5"/>
        <v>27739.040784000001</v>
      </c>
      <c r="O22" s="28">
        <f t="shared" si="6"/>
        <v>8.9999999999999993E-3</v>
      </c>
      <c r="P22" s="106">
        <f t="shared" si="7"/>
        <v>192.03951311999998</v>
      </c>
      <c r="Q22" s="105">
        <f t="shared" si="8"/>
        <v>2.9999999999999997E-5</v>
      </c>
      <c r="R22" s="106">
        <f t="shared" si="9"/>
        <v>0.64013171039999994</v>
      </c>
      <c r="S22">
        <v>300</v>
      </c>
      <c r="T22">
        <f>G22*S22*assumptions!$D$6</f>
        <v>79560</v>
      </c>
      <c r="U22">
        <v>20</v>
      </c>
      <c r="V22" s="57">
        <v>0.46875</v>
      </c>
      <c r="W22" s="48">
        <v>68390.14</v>
      </c>
      <c r="X22" s="51">
        <f>W22*assumptions!$D$8</f>
        <v>88907.182000000001</v>
      </c>
      <c r="Y22">
        <v>3</v>
      </c>
      <c r="Z22">
        <v>12</v>
      </c>
      <c r="AA22" s="58">
        <v>1072</v>
      </c>
      <c r="AB22" s="49">
        <v>3.5</v>
      </c>
      <c r="AC22" s="51">
        <v>21474</v>
      </c>
      <c r="AD22" s="51">
        <v>11812.5</v>
      </c>
      <c r="AE22" s="51">
        <v>27101</v>
      </c>
      <c r="AF22" s="51">
        <v>90000</v>
      </c>
      <c r="AG22" s="51">
        <v>22500</v>
      </c>
      <c r="AH22" s="51">
        <v>21094</v>
      </c>
      <c r="AI22" s="51">
        <v>7650</v>
      </c>
      <c r="AJ22" s="51">
        <v>21670</v>
      </c>
      <c r="AK22" s="51">
        <f t="shared" si="10"/>
        <v>312208.68200000003</v>
      </c>
      <c r="AL22" s="51">
        <v>273360</v>
      </c>
      <c r="AM22" s="51">
        <v>70000</v>
      </c>
      <c r="AN22" s="51">
        <f t="shared" si="11"/>
        <v>343360</v>
      </c>
      <c r="AO22" s="5"/>
    </row>
    <row r="23" spans="2:41" x14ac:dyDescent="0.3">
      <c r="B23" s="61" t="s">
        <v>63</v>
      </c>
      <c r="C23" s="24" t="s">
        <v>62</v>
      </c>
      <c r="D23" s="24" t="s">
        <v>46</v>
      </c>
      <c r="E23" s="25">
        <f>3*52*2</f>
        <v>312</v>
      </c>
      <c r="F23" s="24">
        <f t="shared" si="0"/>
        <v>156</v>
      </c>
      <c r="G23" s="24">
        <f t="shared" si="1"/>
        <v>312</v>
      </c>
      <c r="H23" s="24">
        <f>_xlfn.XLOOKUP(B23,'[1]Baseline 2025'!$B:$B,'[1]Baseline 2025'!$C:$C)</f>
        <v>9285</v>
      </c>
      <c r="I23" s="24">
        <f t="shared" si="2"/>
        <v>2896920</v>
      </c>
      <c r="J23" s="24" t="str">
        <f>_xlfn.XLOOKUP(B23,'[1]Baseline 2025'!$B:$B,'[1]Baseline 2025'!$E:$E)</f>
        <v>Long Haul</v>
      </c>
      <c r="K23" s="24">
        <f>_xlfn.XLOOKUP(B23,'[1]Baseline 2025'!$B:$B,'[1]Baseline 2025'!$I:$I)/100</f>
        <v>214951.46399999998</v>
      </c>
      <c r="L23" s="24">
        <f t="shared" si="3"/>
        <v>21495146.399999999</v>
      </c>
      <c r="M23" s="28">
        <f t="shared" si="4"/>
        <v>1.3</v>
      </c>
      <c r="N23" s="24">
        <f t="shared" si="5"/>
        <v>27943.690320000002</v>
      </c>
      <c r="O23" s="28">
        <f t="shared" si="6"/>
        <v>8.9999999999999993E-3</v>
      </c>
      <c r="P23" s="106">
        <f t="shared" si="7"/>
        <v>193.45631759999998</v>
      </c>
      <c r="Q23" s="105">
        <f t="shared" si="8"/>
        <v>2.9999999999999997E-5</v>
      </c>
      <c r="R23" s="106">
        <f t="shared" si="9"/>
        <v>0.64485439199999983</v>
      </c>
      <c r="S23">
        <v>300</v>
      </c>
      <c r="T23">
        <f>G23*S23*assumptions!$D$6</f>
        <v>79560</v>
      </c>
      <c r="U23">
        <v>20</v>
      </c>
      <c r="V23" s="57">
        <v>0.46875</v>
      </c>
      <c r="W23" s="48">
        <v>68894.7</v>
      </c>
      <c r="X23" s="51">
        <f>W23*assumptions!$D$8</f>
        <v>89563.11</v>
      </c>
      <c r="Y23">
        <v>3</v>
      </c>
      <c r="Z23">
        <v>12</v>
      </c>
      <c r="AA23" s="58">
        <v>1072</v>
      </c>
      <c r="AB23" s="49">
        <v>3.5</v>
      </c>
      <c r="AC23" s="51">
        <v>21633</v>
      </c>
      <c r="AD23" s="51">
        <v>11812.5</v>
      </c>
      <c r="AE23" s="51">
        <v>27203</v>
      </c>
      <c r="AF23" s="51">
        <v>90000</v>
      </c>
      <c r="AG23" s="51">
        <v>22500</v>
      </c>
      <c r="AH23" s="51">
        <v>21094</v>
      </c>
      <c r="AI23" s="51">
        <v>7650</v>
      </c>
      <c r="AJ23" s="51">
        <v>21743</v>
      </c>
      <c r="AK23" s="51">
        <f t="shared" si="10"/>
        <v>313198.61</v>
      </c>
      <c r="AL23" s="51">
        <v>273360</v>
      </c>
      <c r="AM23" s="51">
        <v>70000</v>
      </c>
      <c r="AN23" s="51">
        <f t="shared" si="11"/>
        <v>343360</v>
      </c>
      <c r="AO23" s="5"/>
    </row>
    <row r="24" spans="2:41" x14ac:dyDescent="0.3">
      <c r="B24" s="61" t="s">
        <v>64</v>
      </c>
      <c r="C24" s="24" t="s">
        <v>62</v>
      </c>
      <c r="D24" s="24" t="s">
        <v>46</v>
      </c>
      <c r="E24" s="25">
        <f>52*2</f>
        <v>104</v>
      </c>
      <c r="F24" s="24">
        <f t="shared" si="0"/>
        <v>52</v>
      </c>
      <c r="G24" s="24">
        <f t="shared" si="1"/>
        <v>104</v>
      </c>
      <c r="H24" s="24">
        <f>_xlfn.XLOOKUP(B24,'[1]Baseline 2025'!$B:$B,'[1]Baseline 2025'!$C:$C)</f>
        <v>8886</v>
      </c>
      <c r="I24" s="24">
        <f t="shared" si="2"/>
        <v>924144</v>
      </c>
      <c r="J24" s="24" t="str">
        <f>_xlfn.XLOOKUP(B24,'[1]Baseline 2025'!$B:$B,'[1]Baseline 2025'!$E:$E)</f>
        <v>Long Haul</v>
      </c>
      <c r="K24" s="24">
        <f>_xlfn.XLOOKUP(B24,'[1]Baseline 2025'!$B:$B,'[1]Baseline 2025'!$I:$I)/100</f>
        <v>68571.484799999991</v>
      </c>
      <c r="L24" s="24">
        <f t="shared" si="3"/>
        <v>6857148.4799999995</v>
      </c>
      <c r="M24" s="28">
        <f t="shared" si="4"/>
        <v>1.3</v>
      </c>
      <c r="N24" s="24">
        <f t="shared" si="5"/>
        <v>8914.2930240000005</v>
      </c>
      <c r="O24" s="28">
        <f t="shared" si="6"/>
        <v>8.9999999999999993E-3</v>
      </c>
      <c r="P24" s="106">
        <f t="shared" si="7"/>
        <v>61.714336319999987</v>
      </c>
      <c r="Q24" s="105">
        <f t="shared" si="8"/>
        <v>2.9999999999999997E-5</v>
      </c>
      <c r="R24" s="106">
        <f t="shared" si="9"/>
        <v>0.20571445439999997</v>
      </c>
      <c r="S24">
        <v>300</v>
      </c>
      <c r="T24">
        <f>G24*S24*assumptions!$D$6</f>
        <v>26520</v>
      </c>
      <c r="U24">
        <v>20</v>
      </c>
      <c r="V24" s="57">
        <v>0.45833333333333331</v>
      </c>
      <c r="W24" s="48">
        <v>65934.12</v>
      </c>
      <c r="X24" s="51">
        <f>W24*assumptions!$D$8</f>
        <v>85714.356</v>
      </c>
      <c r="Y24">
        <v>3</v>
      </c>
      <c r="Z24">
        <v>12</v>
      </c>
      <c r="AA24" s="60">
        <v>1031</v>
      </c>
      <c r="AB24" s="49">
        <v>3.5</v>
      </c>
      <c r="AC24" s="51">
        <v>20703</v>
      </c>
      <c r="AD24" s="51">
        <v>11550</v>
      </c>
      <c r="AE24" s="51">
        <v>26604</v>
      </c>
      <c r="AF24" s="51">
        <v>88000</v>
      </c>
      <c r="AG24" s="51">
        <v>22000</v>
      </c>
      <c r="AH24" s="51">
        <v>20625</v>
      </c>
      <c r="AI24" s="51">
        <v>7650</v>
      </c>
      <c r="AJ24" s="51">
        <v>21087</v>
      </c>
      <c r="AK24" s="51">
        <f t="shared" si="10"/>
        <v>303933.35600000003</v>
      </c>
      <c r="AL24" s="51">
        <v>262905</v>
      </c>
      <c r="AM24" s="51">
        <v>70000</v>
      </c>
      <c r="AN24" s="51">
        <f t="shared" si="11"/>
        <v>332905</v>
      </c>
      <c r="AO24" s="5"/>
    </row>
    <row r="25" spans="2:41" x14ac:dyDescent="0.3">
      <c r="B25" s="61" t="s">
        <v>65</v>
      </c>
      <c r="C25" s="24" t="s">
        <v>62</v>
      </c>
      <c r="D25" s="24" t="s">
        <v>46</v>
      </c>
      <c r="E25" s="25">
        <f>156*2</f>
        <v>312</v>
      </c>
      <c r="F25" s="24">
        <f t="shared" si="0"/>
        <v>156</v>
      </c>
      <c r="G25" s="24">
        <f t="shared" si="1"/>
        <v>312</v>
      </c>
      <c r="H25" s="24">
        <f>_xlfn.XLOOKUP(B25,'[1]Baseline 2025'!$B:$B,'[1]Baseline 2025'!$C:$C)</f>
        <v>8818</v>
      </c>
      <c r="I25" s="24">
        <f t="shared" si="2"/>
        <v>2751216</v>
      </c>
      <c r="J25" s="24" t="str">
        <f>_xlfn.XLOOKUP(B25,'[1]Baseline 2025'!$B:$B,'[1]Baseline 2025'!$E:$E)</f>
        <v>Long Haul</v>
      </c>
      <c r="K25" s="24">
        <f>_xlfn.XLOOKUP(B25,'[1]Baseline 2025'!$B:$B,'[1]Baseline 2025'!$I:$I)/100</f>
        <v>204140.22719999999</v>
      </c>
      <c r="L25" s="24">
        <f t="shared" si="3"/>
        <v>20414022.719999999</v>
      </c>
      <c r="M25" s="28">
        <f t="shared" si="4"/>
        <v>1.3</v>
      </c>
      <c r="N25" s="24">
        <f t="shared" si="5"/>
        <v>26538.229535999999</v>
      </c>
      <c r="O25" s="28">
        <f t="shared" si="6"/>
        <v>8.9999999999999993E-3</v>
      </c>
      <c r="P25" s="106">
        <f t="shared" si="7"/>
        <v>183.72620447999998</v>
      </c>
      <c r="Q25" s="105">
        <f t="shared" si="8"/>
        <v>2.9999999999999997E-5</v>
      </c>
      <c r="R25" s="106">
        <f t="shared" si="9"/>
        <v>0.61242068159999996</v>
      </c>
      <c r="S25">
        <v>300</v>
      </c>
      <c r="T25">
        <f>G25*S25*assumptions!$D$6</f>
        <v>79560</v>
      </c>
      <c r="U25">
        <v>20</v>
      </c>
      <c r="V25" s="57">
        <v>0.46527777777777779</v>
      </c>
      <c r="W25" s="48">
        <v>65429.56</v>
      </c>
      <c r="X25" s="51">
        <f>W25*assumptions!$D$8</f>
        <v>85058.428</v>
      </c>
      <c r="Y25">
        <v>3</v>
      </c>
      <c r="Z25">
        <v>12</v>
      </c>
      <c r="AA25" s="58">
        <v>1036</v>
      </c>
      <c r="AB25" s="49">
        <v>3.5</v>
      </c>
      <c r="AC25" s="51">
        <v>20545</v>
      </c>
      <c r="AD25" s="51">
        <v>11728.5</v>
      </c>
      <c r="AE25" s="51">
        <v>26502</v>
      </c>
      <c r="AF25" s="51">
        <v>89360</v>
      </c>
      <c r="AG25" s="51">
        <v>22340</v>
      </c>
      <c r="AH25" s="51">
        <v>20944</v>
      </c>
      <c r="AI25" s="51">
        <v>7650</v>
      </c>
      <c r="AJ25" s="51">
        <v>21172</v>
      </c>
      <c r="AK25" s="51">
        <f t="shared" si="10"/>
        <v>305299.92800000001</v>
      </c>
      <c r="AL25" s="51">
        <v>264180</v>
      </c>
      <c r="AM25" s="51">
        <v>70000</v>
      </c>
      <c r="AN25" s="51">
        <f t="shared" si="11"/>
        <v>334180</v>
      </c>
      <c r="AO25" s="5"/>
    </row>
    <row r="26" spans="2:41" x14ac:dyDescent="0.3">
      <c r="B26" s="61" t="s">
        <v>66</v>
      </c>
      <c r="C26" s="24" t="s">
        <v>62</v>
      </c>
      <c r="D26" s="24" t="s">
        <v>46</v>
      </c>
      <c r="E26" s="25">
        <f>156*2</f>
        <v>312</v>
      </c>
      <c r="F26" s="24">
        <f t="shared" si="0"/>
        <v>156</v>
      </c>
      <c r="G26" s="24">
        <f t="shared" si="1"/>
        <v>312</v>
      </c>
      <c r="H26" s="24">
        <f>_xlfn.XLOOKUP(B26,'[1]Baseline 2025'!$B:$B,'[1]Baseline 2025'!$C:$C)</f>
        <v>9220</v>
      </c>
      <c r="I26" s="24">
        <f t="shared" si="2"/>
        <v>2876640</v>
      </c>
      <c r="J26" s="24" t="str">
        <f>_xlfn.XLOOKUP(B26,'[1]Baseline 2025'!$B:$B,'[1]Baseline 2025'!$E:$E)</f>
        <v>Long Haul</v>
      </c>
      <c r="K26" s="24">
        <f>_xlfn.XLOOKUP(B26,'[1]Baseline 2025'!$B:$B,'[1]Baseline 2025'!$I:$I)/100</f>
        <v>213446.68799999997</v>
      </c>
      <c r="L26" s="24">
        <f t="shared" si="3"/>
        <v>21344668.799999997</v>
      </c>
      <c r="M26" s="28">
        <f t="shared" si="4"/>
        <v>1.3</v>
      </c>
      <c r="N26" s="24">
        <f t="shared" si="5"/>
        <v>27748.069439999999</v>
      </c>
      <c r="O26" s="28">
        <f t="shared" si="6"/>
        <v>8.9999999999999993E-3</v>
      </c>
      <c r="P26" s="106">
        <f t="shared" si="7"/>
        <v>192.10201919999994</v>
      </c>
      <c r="Q26" s="105">
        <f t="shared" si="8"/>
        <v>2.9999999999999997E-5</v>
      </c>
      <c r="R26" s="106">
        <f t="shared" si="9"/>
        <v>0.64034006399999988</v>
      </c>
      <c r="S26">
        <v>300</v>
      </c>
      <c r="T26">
        <f>G26*S26*assumptions!$D$6</f>
        <v>79560</v>
      </c>
      <c r="U26">
        <v>20</v>
      </c>
      <c r="V26" s="57">
        <v>0.47916666666666669</v>
      </c>
      <c r="W26" s="48">
        <v>68412.399999999994</v>
      </c>
      <c r="X26" s="51">
        <f>W26*assumptions!$D$8</f>
        <v>88936.12</v>
      </c>
      <c r="Y26">
        <v>3</v>
      </c>
      <c r="Z26">
        <v>12</v>
      </c>
      <c r="AA26" s="58">
        <v>1081</v>
      </c>
      <c r="AB26" s="49">
        <v>3.5</v>
      </c>
      <c r="AC26" s="51">
        <v>21481</v>
      </c>
      <c r="AD26" s="51">
        <v>12075</v>
      </c>
      <c r="AE26" s="51">
        <v>27105</v>
      </c>
      <c r="AF26" s="51">
        <v>92000</v>
      </c>
      <c r="AG26" s="51">
        <v>23000</v>
      </c>
      <c r="AH26" s="51">
        <v>21563</v>
      </c>
      <c r="AI26" s="51">
        <v>7650</v>
      </c>
      <c r="AJ26" s="51">
        <v>21903</v>
      </c>
      <c r="AK26" s="51">
        <f t="shared" si="10"/>
        <v>315713.12</v>
      </c>
      <c r="AL26" s="51">
        <v>275655</v>
      </c>
      <c r="AM26" s="51">
        <v>70000</v>
      </c>
      <c r="AN26" s="51">
        <f t="shared" si="11"/>
        <v>345655</v>
      </c>
      <c r="AO26" s="5"/>
    </row>
    <row r="27" spans="2:41" x14ac:dyDescent="0.3">
      <c r="B27" s="61" t="s">
        <v>67</v>
      </c>
      <c r="C27" s="24" t="s">
        <v>62</v>
      </c>
      <c r="D27" s="24" t="s">
        <v>46</v>
      </c>
      <c r="E27" s="25">
        <f>52*2</f>
        <v>104</v>
      </c>
      <c r="F27" s="24">
        <f t="shared" si="0"/>
        <v>52</v>
      </c>
      <c r="G27" s="24">
        <f t="shared" si="1"/>
        <v>104</v>
      </c>
      <c r="H27" s="24">
        <f>_xlfn.XLOOKUP(B27,'[1]Baseline 2025'!$B:$B,'[1]Baseline 2025'!$C:$C)</f>
        <v>9536</v>
      </c>
      <c r="I27" s="24">
        <f t="shared" si="2"/>
        <v>991744</v>
      </c>
      <c r="J27" s="24" t="str">
        <f>_xlfn.XLOOKUP(B27,'[1]Baseline 2025'!$B:$B,'[1]Baseline 2025'!$E:$E)</f>
        <v>Long Haul</v>
      </c>
      <c r="K27" s="24">
        <f>_xlfn.XLOOKUP(B27,'[1]Baseline 2025'!$B:$B,'[1]Baseline 2025'!$I:$I)/100</f>
        <v>73587.404799999989</v>
      </c>
      <c r="L27" s="24">
        <f t="shared" si="3"/>
        <v>7358740.4799999986</v>
      </c>
      <c r="M27" s="28">
        <f t="shared" si="4"/>
        <v>1.3</v>
      </c>
      <c r="N27" s="24">
        <f t="shared" si="5"/>
        <v>9566.3626239999976</v>
      </c>
      <c r="O27" s="28">
        <f t="shared" si="6"/>
        <v>8.9999999999999993E-3</v>
      </c>
      <c r="P27" s="106">
        <f t="shared" si="7"/>
        <v>66.228664319999979</v>
      </c>
      <c r="Q27" s="105">
        <f t="shared" si="8"/>
        <v>2.9999999999999997E-5</v>
      </c>
      <c r="R27" s="106">
        <f t="shared" si="9"/>
        <v>0.22076221439999993</v>
      </c>
      <c r="S27">
        <v>300</v>
      </c>
      <c r="T27">
        <f>G27*S27*assumptions!$D$6</f>
        <v>26520</v>
      </c>
      <c r="U27">
        <v>20</v>
      </c>
      <c r="V27" s="57">
        <v>0.5</v>
      </c>
      <c r="W27" s="48">
        <v>70757.119999999995</v>
      </c>
      <c r="X27" s="51">
        <f>W27*assumptions!$D$8</f>
        <v>91984.255999999994</v>
      </c>
      <c r="Y27">
        <v>3</v>
      </c>
      <c r="Z27">
        <v>12</v>
      </c>
      <c r="AA27" s="58">
        <v>1130</v>
      </c>
      <c r="AB27" s="49">
        <v>3.5</v>
      </c>
      <c r="AC27" s="51">
        <v>22218</v>
      </c>
      <c r="AD27" s="51">
        <v>12600</v>
      </c>
      <c r="AE27" s="51">
        <v>27579</v>
      </c>
      <c r="AF27" s="51">
        <v>96000</v>
      </c>
      <c r="AG27" s="51">
        <v>24000</v>
      </c>
      <c r="AH27" s="51">
        <v>22500</v>
      </c>
      <c r="AI27" s="51">
        <v>7650</v>
      </c>
      <c r="AJ27" s="51">
        <v>22701</v>
      </c>
      <c r="AK27" s="51">
        <f t="shared" si="10"/>
        <v>327232.25599999999</v>
      </c>
      <c r="AL27" s="51">
        <v>288150</v>
      </c>
      <c r="AM27" s="51">
        <v>70000</v>
      </c>
      <c r="AN27" s="51">
        <f t="shared" si="11"/>
        <v>358150</v>
      </c>
      <c r="AO27" s="5"/>
    </row>
    <row r="28" spans="2:41" x14ac:dyDescent="0.3">
      <c r="B28" s="61" t="s">
        <v>68</v>
      </c>
      <c r="C28" s="24" t="s">
        <v>62</v>
      </c>
      <c r="D28" s="24" t="s">
        <v>46</v>
      </c>
      <c r="E28" s="25">
        <f>156*2</f>
        <v>312</v>
      </c>
      <c r="F28" s="24">
        <f t="shared" si="0"/>
        <v>156</v>
      </c>
      <c r="G28" s="24">
        <f t="shared" si="1"/>
        <v>312</v>
      </c>
      <c r="H28" s="24">
        <f>_xlfn.XLOOKUP(B28,'[1]Baseline 2025'!$B:$B,'[1]Baseline 2025'!$C:$C)</f>
        <v>9652</v>
      </c>
      <c r="I28" s="24">
        <f t="shared" si="2"/>
        <v>3011424</v>
      </c>
      <c r="J28" s="24" t="str">
        <f>_xlfn.XLOOKUP(B28,'[1]Baseline 2025'!$B:$B,'[1]Baseline 2025'!$E:$E)</f>
        <v>Long Haul</v>
      </c>
      <c r="K28" s="24">
        <f>_xlfn.XLOOKUP(B28,'[1]Baseline 2025'!$B:$B,'[1]Baseline 2025'!$I:$I)/100</f>
        <v>223447.66079999998</v>
      </c>
      <c r="L28" s="24">
        <f t="shared" si="3"/>
        <v>22344766.079999998</v>
      </c>
      <c r="M28" s="28">
        <f t="shared" si="4"/>
        <v>1.3</v>
      </c>
      <c r="N28" s="24">
        <f t="shared" si="5"/>
        <v>29048.195904</v>
      </c>
      <c r="O28" s="28">
        <f t="shared" si="6"/>
        <v>8.9999999999999993E-3</v>
      </c>
      <c r="P28" s="106">
        <f t="shared" si="7"/>
        <v>201.10289471999999</v>
      </c>
      <c r="Q28" s="105">
        <f t="shared" si="8"/>
        <v>2.9999999999999997E-5</v>
      </c>
      <c r="R28" s="106">
        <f t="shared" si="9"/>
        <v>0.6703429823999999</v>
      </c>
      <c r="S28">
        <v>300</v>
      </c>
      <c r="T28">
        <f>G28*S28*assumptions!$D$6</f>
        <v>79560</v>
      </c>
      <c r="U28">
        <v>20</v>
      </c>
      <c r="V28" s="57">
        <v>0.47222222222222221</v>
      </c>
      <c r="W28" s="48">
        <v>71617.84</v>
      </c>
      <c r="X28" s="51">
        <f>W28*assumptions!$D$8</f>
        <v>93103.191999999995</v>
      </c>
      <c r="Y28">
        <v>3</v>
      </c>
      <c r="Z28">
        <v>12</v>
      </c>
      <c r="AA28" s="58">
        <v>1100</v>
      </c>
      <c r="AB28" s="49">
        <v>3.5</v>
      </c>
      <c r="AC28" s="51">
        <v>22488</v>
      </c>
      <c r="AD28" s="51">
        <v>11896.5</v>
      </c>
      <c r="AE28" s="51">
        <v>27753</v>
      </c>
      <c r="AF28" s="51">
        <v>90640</v>
      </c>
      <c r="AG28" s="51">
        <v>22660</v>
      </c>
      <c r="AH28" s="51">
        <v>21244</v>
      </c>
      <c r="AI28" s="51">
        <v>7650</v>
      </c>
      <c r="AJ28" s="51">
        <v>22205</v>
      </c>
      <c r="AK28" s="51">
        <f t="shared" si="10"/>
        <v>319639.69199999998</v>
      </c>
      <c r="AL28" s="51">
        <v>280500</v>
      </c>
      <c r="AM28" s="51">
        <v>70000</v>
      </c>
      <c r="AN28" s="51">
        <f t="shared" si="11"/>
        <v>350500</v>
      </c>
      <c r="AO28" s="5"/>
    </row>
    <row r="29" spans="2:41" x14ac:dyDescent="0.3">
      <c r="N29" s="26">
        <f>SUM(N7:N28)</f>
        <v>213699.15475999998</v>
      </c>
      <c r="O29" s="26"/>
      <c r="P29" s="108">
        <f>SUM(P7:P28)</f>
        <v>1479.4556867999997</v>
      </c>
      <c r="Q29" s="108"/>
      <c r="R29" s="108">
        <f>SUM(R7:R28)</f>
        <v>4.9315189559999988</v>
      </c>
    </row>
    <row r="31" spans="2:41" x14ac:dyDescent="0.3">
      <c r="D31" s="51"/>
      <c r="F31" s="51"/>
    </row>
    <row r="32" spans="2:41" x14ac:dyDescent="0.3">
      <c r="D32" s="51"/>
      <c r="F32" s="51"/>
    </row>
    <row r="33" spans="4:6" x14ac:dyDescent="0.3">
      <c r="D33" s="51"/>
      <c r="F33" s="51"/>
    </row>
    <row r="34" spans="4:6" x14ac:dyDescent="0.3">
      <c r="D34" s="51"/>
      <c r="F34" s="51"/>
    </row>
    <row r="35" spans="4:6" x14ac:dyDescent="0.3">
      <c r="D35" s="51"/>
      <c r="F35" s="51"/>
    </row>
    <row r="36" spans="4:6" x14ac:dyDescent="0.3">
      <c r="D36" s="51"/>
      <c r="F36" s="51"/>
    </row>
    <row r="37" spans="4:6" x14ac:dyDescent="0.3">
      <c r="D37" s="51"/>
      <c r="F37" s="51"/>
    </row>
    <row r="38" spans="4:6" x14ac:dyDescent="0.3">
      <c r="D38" s="51"/>
      <c r="F38" s="51"/>
    </row>
    <row r="39" spans="4:6" x14ac:dyDescent="0.3">
      <c r="D39" s="51"/>
      <c r="F39" s="51"/>
    </row>
    <row r="40" spans="4:6" x14ac:dyDescent="0.3">
      <c r="D40" s="51"/>
      <c r="F40" s="51"/>
    </row>
    <row r="41" spans="4:6" x14ac:dyDescent="0.3">
      <c r="D41" s="51"/>
      <c r="F41" s="51"/>
    </row>
    <row r="42" spans="4:6" x14ac:dyDescent="0.3">
      <c r="D42" s="51"/>
      <c r="F42" s="51"/>
    </row>
    <row r="43" spans="4:6" x14ac:dyDescent="0.3">
      <c r="D43" s="51"/>
      <c r="F43" s="51"/>
    </row>
    <row r="44" spans="4:6" x14ac:dyDescent="0.3">
      <c r="D44" s="51"/>
      <c r="F44" s="51"/>
    </row>
    <row r="45" spans="4:6" x14ac:dyDescent="0.3">
      <c r="D45" s="51"/>
      <c r="F45" s="51"/>
    </row>
    <row r="46" spans="4:6" x14ac:dyDescent="0.3">
      <c r="D46" s="51"/>
      <c r="F46" s="51"/>
    </row>
    <row r="47" spans="4:6" x14ac:dyDescent="0.3">
      <c r="D47" s="51"/>
      <c r="F47" s="51"/>
    </row>
    <row r="48" spans="4:6" x14ac:dyDescent="0.3">
      <c r="D48" s="51"/>
      <c r="F48" s="51"/>
    </row>
    <row r="49" spans="4:6" x14ac:dyDescent="0.3">
      <c r="D49" s="51"/>
      <c r="F49" s="51"/>
    </row>
    <row r="50" spans="4:6" x14ac:dyDescent="0.3">
      <c r="D50" s="51"/>
      <c r="F50" s="51"/>
    </row>
    <row r="51" spans="4:6" x14ac:dyDescent="0.3">
      <c r="D51" s="51"/>
      <c r="F51" s="51"/>
    </row>
    <row r="52" spans="4:6" x14ac:dyDescent="0.3">
      <c r="D52" s="51"/>
      <c r="F52" s="51"/>
    </row>
    <row r="55" spans="4:6" x14ac:dyDescent="0.3">
      <c r="D55" s="51"/>
      <c r="F55" s="51"/>
    </row>
  </sheetData>
  <mergeCells count="1">
    <mergeCell ref="A4:N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142C-50C5-4C08-A457-E35F3D31DBED}">
  <sheetPr>
    <tabColor theme="7"/>
  </sheetPr>
  <dimension ref="A4:BK57"/>
  <sheetViews>
    <sheetView topLeftCell="A6" zoomScale="70" zoomScaleNormal="80" workbookViewId="0">
      <selection activeCell="R7" sqref="R7:R28"/>
    </sheetView>
  </sheetViews>
  <sheetFormatPr defaultRowHeight="14.4" x14ac:dyDescent="0.3"/>
  <cols>
    <col min="12" max="12" width="11" bestFit="1" customWidth="1"/>
    <col min="13" max="13" width="9" bestFit="1" customWidth="1"/>
    <col min="14" max="14" width="9.88671875" bestFit="1" customWidth="1"/>
    <col min="15" max="18" width="9" customWidth="1"/>
    <col min="19" max="19" width="9" bestFit="1" customWidth="1"/>
    <col min="20" max="20" width="9" customWidth="1"/>
    <col min="21" max="22" width="9" bestFit="1" customWidth="1"/>
    <col min="23" max="24" width="7.88671875" bestFit="1" customWidth="1"/>
    <col min="25" max="25" width="15.109375" bestFit="1" customWidth="1"/>
    <col min="26" max="27" width="15.109375" customWidth="1"/>
    <col min="28" max="29" width="12.5546875" bestFit="1" customWidth="1"/>
    <col min="30" max="30" width="10.44140625" bestFit="1" customWidth="1"/>
    <col min="31" max="31" width="9" bestFit="1" customWidth="1"/>
    <col min="32" max="33" width="14.109375" bestFit="1" customWidth="1"/>
    <col min="34" max="34" width="15.109375" bestFit="1" customWidth="1"/>
    <col min="35" max="35" width="14.109375" bestFit="1" customWidth="1"/>
    <col min="36" max="36" width="11.44140625" bestFit="1" customWidth="1"/>
    <col min="37" max="37" width="14.109375" bestFit="1" customWidth="1"/>
    <col min="38" max="38" width="12.33203125" bestFit="1" customWidth="1"/>
    <col min="39" max="39" width="13.88671875" bestFit="1" customWidth="1"/>
    <col min="40" max="40" width="12.33203125" bestFit="1" customWidth="1"/>
    <col min="41" max="41" width="12.44140625" bestFit="1" customWidth="1"/>
    <col min="42" max="42" width="10.5546875" bestFit="1" customWidth="1"/>
  </cols>
  <sheetData>
    <row r="4" spans="1:63" ht="25.8" x14ac:dyDescent="0.5">
      <c r="A4" s="112" t="s">
        <v>81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</row>
    <row r="5" spans="1:63" ht="25.8" x14ac:dyDescent="0.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44"/>
      <c r="T5" s="44"/>
      <c r="U5" s="44"/>
      <c r="V5" s="44"/>
      <c r="W5" s="44"/>
      <c r="X5" s="44"/>
      <c r="Y5" s="44"/>
      <c r="Z5" s="44"/>
      <c r="AA5" s="44"/>
      <c r="AB5" s="38" t="s">
        <v>1</v>
      </c>
      <c r="AC5" s="22"/>
      <c r="AD5" s="45"/>
      <c r="AE5" s="45"/>
      <c r="AF5" s="36"/>
      <c r="AG5" s="36"/>
      <c r="AH5" s="36"/>
      <c r="AI5" s="37" t="s">
        <v>2</v>
      </c>
      <c r="AJ5" s="36"/>
      <c r="AK5" s="36"/>
      <c r="AL5" s="36"/>
      <c r="AM5" s="36"/>
      <c r="AN5" s="39"/>
      <c r="AO5" s="40" t="s">
        <v>3</v>
      </c>
      <c r="AP5" s="39"/>
    </row>
    <row r="6" spans="1:63" ht="169.8" x14ac:dyDescent="0.3">
      <c r="B6" s="21" t="s">
        <v>4</v>
      </c>
      <c r="C6" s="21" t="s">
        <v>5</v>
      </c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82</v>
      </c>
      <c r="O6" s="21" t="s">
        <v>17</v>
      </c>
      <c r="P6" s="21" t="s">
        <v>18</v>
      </c>
      <c r="Q6" s="21" t="s">
        <v>19</v>
      </c>
      <c r="R6" s="21" t="s">
        <v>20</v>
      </c>
      <c r="S6" s="30" t="s">
        <v>21</v>
      </c>
      <c r="T6" s="30" t="s">
        <v>22</v>
      </c>
      <c r="U6" s="30" t="s">
        <v>23</v>
      </c>
      <c r="V6" s="30" t="s">
        <v>24</v>
      </c>
      <c r="W6" s="30" t="s">
        <v>83</v>
      </c>
      <c r="X6" s="30" t="s">
        <v>84</v>
      </c>
      <c r="Y6" s="30" t="s">
        <v>85</v>
      </c>
      <c r="Z6" s="30" t="s">
        <v>86</v>
      </c>
      <c r="AA6" s="30" t="s">
        <v>87</v>
      </c>
      <c r="AB6" s="32" t="s">
        <v>31</v>
      </c>
      <c r="AC6" s="32" t="s">
        <v>32</v>
      </c>
      <c r="AD6" s="33" t="s">
        <v>30</v>
      </c>
      <c r="AE6" s="33" t="s">
        <v>33</v>
      </c>
      <c r="AF6" s="31" t="s">
        <v>1</v>
      </c>
      <c r="AG6" s="31" t="s">
        <v>34</v>
      </c>
      <c r="AH6" s="31" t="s">
        <v>35</v>
      </c>
      <c r="AI6" s="31" t="s">
        <v>36</v>
      </c>
      <c r="AJ6" s="31" t="s">
        <v>37</v>
      </c>
      <c r="AK6" s="31" t="s">
        <v>38</v>
      </c>
      <c r="AL6" s="31" t="s">
        <v>39</v>
      </c>
      <c r="AM6" s="31" t="s">
        <v>40</v>
      </c>
      <c r="AN6" s="31" t="s">
        <v>77</v>
      </c>
      <c r="AO6" s="31" t="s">
        <v>78</v>
      </c>
      <c r="AP6" s="31" t="s">
        <v>79</v>
      </c>
      <c r="AQ6" s="31" t="s">
        <v>80</v>
      </c>
    </row>
    <row r="7" spans="1:63" x14ac:dyDescent="0.3">
      <c r="B7" s="27" t="s">
        <v>44</v>
      </c>
      <c r="C7" s="28" t="s">
        <v>45</v>
      </c>
      <c r="D7" s="28" t="s">
        <v>46</v>
      </c>
      <c r="E7" s="29">
        <f>7*52*2</f>
        <v>728</v>
      </c>
      <c r="F7" s="28">
        <f t="shared" ref="F7:F28" si="0">E7/2</f>
        <v>364</v>
      </c>
      <c r="G7" s="28">
        <f t="shared" ref="G7:G28" si="1">E7</f>
        <v>728</v>
      </c>
      <c r="H7" s="28">
        <f>_xlfn.XLOOKUP(B7,'[1]Baseline 2025'!$B:$B,'[1]Baseline 2025'!$C:$C)</f>
        <v>1613</v>
      </c>
      <c r="I7" s="28">
        <f t="shared" ref="I7:I28" si="2">E7*H7</f>
        <v>1174264</v>
      </c>
      <c r="J7" s="28" t="str">
        <f>_xlfn.XLOOKUP(B7,'[1]Baseline 2025'!$B:$B,'[1]Baseline 2025'!$E:$E)</f>
        <v>Short Haul</v>
      </c>
      <c r="K7" s="28">
        <f>_xlfn.XLOOKUP(B7,'[1]Baseline 2025'!$B:$B,'[1]Baseline 2025'!$I:$I)/100</f>
        <v>43095.488799999999</v>
      </c>
      <c r="L7" s="28">
        <f t="shared" ref="L7:L28" si="3">(K7*100)*0.65</f>
        <v>2801206.7719999999</v>
      </c>
      <c r="M7" s="28">
        <f t="shared" ref="M7:M28" si="4">1.3</f>
        <v>1.3</v>
      </c>
      <c r="N7" s="106">
        <f>(L7*M7)/1000</f>
        <v>3641.5688035999997</v>
      </c>
      <c r="O7" s="28">
        <f t="shared" ref="O7:O28" si="5">9/1000</f>
        <v>8.9999999999999993E-3</v>
      </c>
      <c r="P7" s="106">
        <f>(O7*L7)/1000</f>
        <v>25.210860947999997</v>
      </c>
      <c r="Q7" s="106">
        <f>0.03/1000</f>
        <v>2.9999999999999997E-5</v>
      </c>
      <c r="R7" s="106">
        <f>(Q7*L7)/1000</f>
        <v>8.4036203159999989E-2</v>
      </c>
      <c r="S7">
        <v>100</v>
      </c>
      <c r="T7">
        <f>G7*S7*assumptions!$D$6</f>
        <v>61880</v>
      </c>
      <c r="U7">
        <v>10.9</v>
      </c>
      <c r="V7" s="57">
        <v>0.1111111111111111</v>
      </c>
      <c r="W7" s="48">
        <v>5919.71</v>
      </c>
      <c r="X7" s="48">
        <f t="shared" ref="X7:X28" si="6">W7*0.65</f>
        <v>3847.8115000000003</v>
      </c>
      <c r="Y7" s="51">
        <f>X7*assumptions!$C$8</f>
        <v>6926.0607000000009</v>
      </c>
      <c r="Z7" s="20">
        <f t="shared" ref="Z7:Z28" si="7">(W7*0.35)*43/3600</f>
        <v>24.747676527777774</v>
      </c>
      <c r="AA7" s="51">
        <f>Z7*assumptions!$C$11</f>
        <v>2351.0292701388885</v>
      </c>
      <c r="AB7">
        <v>2</v>
      </c>
      <c r="AC7">
        <v>3</v>
      </c>
      <c r="AD7" s="58">
        <v>190</v>
      </c>
      <c r="AE7" s="49">
        <v>3.5</v>
      </c>
      <c r="AF7" s="51">
        <v>1197</v>
      </c>
      <c r="AG7" s="51">
        <v>6845</v>
      </c>
      <c r="AH7" s="51">
        <v>21360</v>
      </c>
      <c r="AI7" s="51">
        <v>5340</v>
      </c>
      <c r="AJ7" s="51">
        <v>1669</v>
      </c>
      <c r="AK7" s="51">
        <v>2550</v>
      </c>
      <c r="AL7" s="51">
        <v>3440</v>
      </c>
      <c r="AM7" s="50">
        <f>Y7+AF7+AG7+AH7+AI7+AJ7+AK7+AL7+AA7</f>
        <v>51678.089970138892</v>
      </c>
      <c r="AN7" s="51">
        <v>16150</v>
      </c>
      <c r="AO7" s="51">
        <v>38150</v>
      </c>
      <c r="AP7" s="51">
        <f t="shared" ref="AP7:AP28" si="8">AN7+AO7</f>
        <v>54300</v>
      </c>
      <c r="AQ7" s="5">
        <f>(AP7/AM7)-1</f>
        <v>5.0735428329029331E-2</v>
      </c>
    </row>
    <row r="8" spans="1:63" x14ac:dyDescent="0.3">
      <c r="B8" s="27" t="s">
        <v>47</v>
      </c>
      <c r="C8" s="28" t="s">
        <v>45</v>
      </c>
      <c r="D8" s="28" t="s">
        <v>46</v>
      </c>
      <c r="E8" s="29">
        <f>7*52*2</f>
        <v>728</v>
      </c>
      <c r="F8" s="28">
        <f t="shared" si="0"/>
        <v>364</v>
      </c>
      <c r="G8" s="28">
        <f t="shared" si="1"/>
        <v>728</v>
      </c>
      <c r="H8" s="28">
        <f>_xlfn.XLOOKUP(B8,'[1]Baseline 2025'!$B:$B,'[1]Baseline 2025'!$C:$C)</f>
        <v>1155</v>
      </c>
      <c r="I8" s="28">
        <f t="shared" si="2"/>
        <v>840840</v>
      </c>
      <c r="J8" s="28" t="str">
        <f>_xlfn.XLOOKUP(B8,'[1]Baseline 2025'!$B:$B,'[1]Baseline 2025'!$E:$E)</f>
        <v>Short Haul</v>
      </c>
      <c r="K8" s="28">
        <f>_xlfn.XLOOKUP(B8,'[1]Baseline 2025'!$B:$B,'[1]Baseline 2025'!$I:$I)/100</f>
        <v>30858.828000000001</v>
      </c>
      <c r="L8" s="28">
        <f t="shared" si="3"/>
        <v>2005823.8200000003</v>
      </c>
      <c r="M8" s="28">
        <f t="shared" si="4"/>
        <v>1.3</v>
      </c>
      <c r="N8" s="106">
        <f t="shared" ref="N8:N28" si="9">(L8*M8)/1000</f>
        <v>2607.5709660000007</v>
      </c>
      <c r="O8" s="28">
        <f t="shared" si="5"/>
        <v>8.9999999999999993E-3</v>
      </c>
      <c r="P8" s="106">
        <f t="shared" ref="P8:P28" si="10">(O8*L8)/1000</f>
        <v>18.052414380000002</v>
      </c>
      <c r="Q8" s="106">
        <f t="shared" ref="Q8:Q28" si="11">0.03/1000</f>
        <v>2.9999999999999997E-5</v>
      </c>
      <c r="R8" s="106">
        <f t="shared" ref="R8:R28" si="12">(Q8*L8)/1000</f>
        <v>6.0174714599999998E-2</v>
      </c>
      <c r="S8">
        <v>100</v>
      </c>
      <c r="T8">
        <f>G8*S8*assumptions!$D$6</f>
        <v>61880</v>
      </c>
      <c r="U8">
        <v>10.9</v>
      </c>
      <c r="V8" s="57">
        <v>8.3333333333333329E-2</v>
      </c>
      <c r="W8" s="48">
        <v>4238.8500000000004</v>
      </c>
      <c r="X8" s="48">
        <f t="shared" si="6"/>
        <v>2755.2525000000005</v>
      </c>
      <c r="Y8" s="51">
        <f>X8*assumptions!$C$8</f>
        <v>4959.4545000000007</v>
      </c>
      <c r="Z8" s="20">
        <f t="shared" si="7"/>
        <v>17.720747916666667</v>
      </c>
      <c r="AA8" s="51">
        <f>Z8*assumptions!$C$11</f>
        <v>1683.4710520833335</v>
      </c>
      <c r="AB8">
        <v>2</v>
      </c>
      <c r="AC8">
        <v>3</v>
      </c>
      <c r="AD8" s="58">
        <v>117</v>
      </c>
      <c r="AE8" s="49">
        <v>3</v>
      </c>
      <c r="AF8" s="51">
        <v>900</v>
      </c>
      <c r="AG8" s="51">
        <v>6158</v>
      </c>
      <c r="AH8" s="51">
        <v>16000</v>
      </c>
      <c r="AI8" s="51">
        <v>4000</v>
      </c>
      <c r="AJ8" s="51">
        <v>1250</v>
      </c>
      <c r="AK8" s="51">
        <v>2550</v>
      </c>
      <c r="AL8" s="51">
        <v>2680</v>
      </c>
      <c r="AM8" s="50">
        <f t="shared" ref="AM8:AM27" si="13">Y8+AF8+AG8+AH8+AI8+AJ8+AK8+AL8+AA8</f>
        <v>40180.925552083332</v>
      </c>
      <c r="AN8" s="51">
        <v>9960.2999999999993</v>
      </c>
      <c r="AO8" s="51">
        <v>32700</v>
      </c>
      <c r="AP8" s="51">
        <f t="shared" si="8"/>
        <v>42660.3</v>
      </c>
      <c r="AQ8" s="5">
        <f>(AP8/AM8)-1</f>
        <v>6.1705259743279228E-2</v>
      </c>
    </row>
    <row r="9" spans="1:63" x14ac:dyDescent="0.3">
      <c r="B9" s="27" t="s">
        <v>48</v>
      </c>
      <c r="C9" s="28" t="s">
        <v>45</v>
      </c>
      <c r="D9" s="28" t="s">
        <v>46</v>
      </c>
      <c r="E9" s="29">
        <f>7*52*2</f>
        <v>728</v>
      </c>
      <c r="F9" s="28">
        <f t="shared" si="0"/>
        <v>364</v>
      </c>
      <c r="G9" s="28">
        <f t="shared" si="1"/>
        <v>728</v>
      </c>
      <c r="H9" s="28">
        <f>_xlfn.XLOOKUP(B9,'[1]Baseline 2025'!$B:$B,'[1]Baseline 2025'!$C:$C)</f>
        <v>1241</v>
      </c>
      <c r="I9" s="28">
        <f t="shared" si="2"/>
        <v>903448</v>
      </c>
      <c r="J9" s="28" t="str">
        <f>_xlfn.XLOOKUP(B9,'[1]Baseline 2025'!$B:$B,'[1]Baseline 2025'!$E:$E)</f>
        <v>Short Haul</v>
      </c>
      <c r="K9" s="28">
        <f>_xlfn.XLOOKUP(B9,'[1]Baseline 2025'!$B:$B,'[1]Baseline 2025'!$I:$I)/100</f>
        <v>33156.541600000004</v>
      </c>
      <c r="L9" s="28">
        <f t="shared" si="3"/>
        <v>2155175.2040000004</v>
      </c>
      <c r="M9" s="28">
        <f t="shared" si="4"/>
        <v>1.3</v>
      </c>
      <c r="N9" s="106">
        <f t="shared" si="9"/>
        <v>2801.7277652000007</v>
      </c>
      <c r="O9" s="28">
        <f t="shared" si="5"/>
        <v>8.9999999999999993E-3</v>
      </c>
      <c r="P9" s="106">
        <f t="shared" si="10"/>
        <v>19.396576836000001</v>
      </c>
      <c r="Q9" s="106">
        <f t="shared" si="11"/>
        <v>2.9999999999999997E-5</v>
      </c>
      <c r="R9" s="106">
        <f t="shared" si="12"/>
        <v>6.4655256120000004E-2</v>
      </c>
      <c r="S9">
        <v>100</v>
      </c>
      <c r="T9">
        <f>G9*S9*assumptions!$D$6</f>
        <v>61880</v>
      </c>
      <c r="U9">
        <v>10.9</v>
      </c>
      <c r="V9" s="57">
        <v>9.7222222222222224E-2</v>
      </c>
      <c r="W9" s="48">
        <v>4554.47</v>
      </c>
      <c r="X9" s="48">
        <f t="shared" si="6"/>
        <v>2960.4055000000003</v>
      </c>
      <c r="Y9" s="51">
        <f>X9*assumptions!$C$8</f>
        <v>5328.7299000000003</v>
      </c>
      <c r="Z9" s="20">
        <f t="shared" si="7"/>
        <v>19.04021486111111</v>
      </c>
      <c r="AA9" s="51">
        <f>Z9*assumptions!$C$11</f>
        <v>1808.8204118055555</v>
      </c>
      <c r="AB9">
        <v>2</v>
      </c>
      <c r="AC9">
        <v>3</v>
      </c>
      <c r="AD9" s="58">
        <v>111.6</v>
      </c>
      <c r="AE9" s="49">
        <v>3.5</v>
      </c>
      <c r="AF9" s="51">
        <v>1048.5</v>
      </c>
      <c r="AG9" s="51">
        <v>6287</v>
      </c>
      <c r="AH9" s="51">
        <v>18640</v>
      </c>
      <c r="AI9" s="51">
        <v>4660</v>
      </c>
      <c r="AJ9" s="51">
        <v>1456</v>
      </c>
      <c r="AK9" s="51">
        <v>2550</v>
      </c>
      <c r="AL9" s="51">
        <v>2985</v>
      </c>
      <c r="AM9" s="50">
        <f t="shared" si="13"/>
        <v>44764.050311805557</v>
      </c>
      <c r="AN9" s="51">
        <v>9486</v>
      </c>
      <c r="AO9" s="51">
        <v>38150</v>
      </c>
      <c r="AP9" s="51">
        <f t="shared" si="8"/>
        <v>47636</v>
      </c>
      <c r="AQ9" s="5">
        <f>(AP9/AM9)-1</f>
        <v>6.4157502911148079E-2</v>
      </c>
    </row>
    <row r="10" spans="1:63" x14ac:dyDescent="0.3">
      <c r="B10" s="27" t="s">
        <v>49</v>
      </c>
      <c r="C10" s="28" t="s">
        <v>45</v>
      </c>
      <c r="D10" s="28" t="s">
        <v>46</v>
      </c>
      <c r="E10" s="29">
        <f>14*52</f>
        <v>728</v>
      </c>
      <c r="F10" s="28">
        <f t="shared" si="0"/>
        <v>364</v>
      </c>
      <c r="G10" s="28">
        <f t="shared" si="1"/>
        <v>728</v>
      </c>
      <c r="H10" s="28">
        <f>_xlfn.XLOOKUP(B10,'[1]Baseline 2025'!$B:$B,'[1]Baseline 2025'!$C:$C)</f>
        <v>158</v>
      </c>
      <c r="I10" s="28">
        <f t="shared" si="2"/>
        <v>115024</v>
      </c>
      <c r="J10" s="28" t="str">
        <f>_xlfn.XLOOKUP(B10,'[1]Baseline 2025'!$B:$B,'[1]Baseline 2025'!$E:$E)</f>
        <v>Short Haul</v>
      </c>
      <c r="K10" s="28">
        <f>_xlfn.XLOOKUP(B10,'[1]Baseline 2025'!$B:$B,'[1]Baseline 2025'!$I:$I)/100</f>
        <v>8442.7615999999998</v>
      </c>
      <c r="L10" s="28">
        <f t="shared" si="3"/>
        <v>548779.50400000007</v>
      </c>
      <c r="M10" s="28">
        <f t="shared" si="4"/>
        <v>1.3</v>
      </c>
      <c r="N10" s="106">
        <f t="shared" si="9"/>
        <v>713.41335520000007</v>
      </c>
      <c r="O10" s="28">
        <f t="shared" si="5"/>
        <v>8.9999999999999993E-3</v>
      </c>
      <c r="P10" s="106">
        <f t="shared" si="10"/>
        <v>4.9390155360000003</v>
      </c>
      <c r="Q10" s="106">
        <f t="shared" si="11"/>
        <v>2.9999999999999997E-5</v>
      </c>
      <c r="R10" s="106">
        <f t="shared" si="12"/>
        <v>1.646338512E-2</v>
      </c>
      <c r="S10">
        <v>100</v>
      </c>
      <c r="T10">
        <f>G10*S10*assumptions!$D$6</f>
        <v>61880</v>
      </c>
      <c r="U10">
        <v>10.9</v>
      </c>
      <c r="V10" s="57">
        <v>2.7777777777777776E-2</v>
      </c>
      <c r="W10" s="48">
        <v>579.86</v>
      </c>
      <c r="X10" s="48">
        <f t="shared" si="6"/>
        <v>376.90900000000005</v>
      </c>
      <c r="Y10" s="51">
        <f>X10*assumptions!$C$8</f>
        <v>678.4362000000001</v>
      </c>
      <c r="Z10" s="20">
        <f t="shared" si="7"/>
        <v>2.4241369444444443</v>
      </c>
      <c r="AA10" s="51">
        <f>Z10*assumptions!$C$11</f>
        <v>230.29300972222219</v>
      </c>
      <c r="AB10">
        <v>2</v>
      </c>
      <c r="AC10">
        <v>3</v>
      </c>
      <c r="AD10" s="58">
        <v>46.5</v>
      </c>
      <c r="AE10" s="49">
        <v>3.5</v>
      </c>
      <c r="AF10" s="51">
        <v>297</v>
      </c>
      <c r="AG10" s="51">
        <v>4662</v>
      </c>
      <c r="AH10" s="51">
        <v>5280</v>
      </c>
      <c r="AI10" s="51">
        <v>1320</v>
      </c>
      <c r="AJ10" s="51">
        <v>413</v>
      </c>
      <c r="AK10" s="51">
        <v>2550</v>
      </c>
      <c r="AL10" s="51">
        <v>1103</v>
      </c>
      <c r="AM10" s="50">
        <f t="shared" si="13"/>
        <v>16533.729209722223</v>
      </c>
      <c r="AN10" s="51">
        <v>3952.5</v>
      </c>
      <c r="AO10" s="51">
        <v>38150</v>
      </c>
      <c r="AP10" s="51">
        <f t="shared" si="8"/>
        <v>42102.5</v>
      </c>
      <c r="AQ10" s="5">
        <v>0.60699999999999998</v>
      </c>
    </row>
    <row r="11" spans="1:63" x14ac:dyDescent="0.3">
      <c r="B11" s="27" t="s">
        <v>50</v>
      </c>
      <c r="C11" s="28" t="s">
        <v>45</v>
      </c>
      <c r="D11" s="28" t="s">
        <v>46</v>
      </c>
      <c r="E11" s="29">
        <f>7*52*2</f>
        <v>728</v>
      </c>
      <c r="F11" s="28">
        <f t="shared" si="0"/>
        <v>364</v>
      </c>
      <c r="G11" s="28">
        <f t="shared" si="1"/>
        <v>728</v>
      </c>
      <c r="H11" s="28">
        <f>_xlfn.XLOOKUP(B11,'[1]Baseline 2025'!$B:$B,'[1]Baseline 2025'!$C:$C)</f>
        <v>561</v>
      </c>
      <c r="I11" s="28">
        <f t="shared" si="2"/>
        <v>408408</v>
      </c>
      <c r="J11" s="28" t="str">
        <f>_xlfn.XLOOKUP(B11,'[1]Baseline 2025'!$B:$B,'[1]Baseline 2025'!$E:$E)</f>
        <v>Short Haul</v>
      </c>
      <c r="K11" s="28">
        <f>_xlfn.XLOOKUP(B11,'[1]Baseline 2025'!$B:$B,'[1]Baseline 2025'!$I:$I)/100</f>
        <v>14988.573600000002</v>
      </c>
      <c r="L11" s="28">
        <f t="shared" si="3"/>
        <v>974257.2840000001</v>
      </c>
      <c r="M11" s="28">
        <f t="shared" si="4"/>
        <v>1.3</v>
      </c>
      <c r="N11" s="106">
        <f t="shared" si="9"/>
        <v>1266.5344692000001</v>
      </c>
      <c r="O11" s="28">
        <f t="shared" si="5"/>
        <v>8.9999999999999993E-3</v>
      </c>
      <c r="P11" s="106">
        <f t="shared" si="10"/>
        <v>8.7683155559999992</v>
      </c>
      <c r="Q11" s="106">
        <f t="shared" si="11"/>
        <v>2.9999999999999997E-5</v>
      </c>
      <c r="R11" s="106">
        <f t="shared" si="12"/>
        <v>2.9227718520000001E-2</v>
      </c>
      <c r="S11">
        <v>100</v>
      </c>
      <c r="T11">
        <f>G11*S11*assumptions!$D$6</f>
        <v>61880</v>
      </c>
      <c r="U11">
        <v>10.9</v>
      </c>
      <c r="V11" s="57">
        <v>5.5555555555555552E-2</v>
      </c>
      <c r="W11" s="48">
        <v>2058.87</v>
      </c>
      <c r="X11" s="48">
        <f t="shared" si="6"/>
        <v>1338.2655</v>
      </c>
      <c r="Y11" s="51">
        <f>X11*assumptions!$C$8</f>
        <v>2408.8779</v>
      </c>
      <c r="Z11" s="20">
        <f t="shared" si="7"/>
        <v>8.6072204166666655</v>
      </c>
      <c r="AA11" s="51">
        <f>Z11*assumptions!$C$11</f>
        <v>817.68593958333327</v>
      </c>
      <c r="AB11">
        <v>2</v>
      </c>
      <c r="AC11">
        <v>3</v>
      </c>
      <c r="AD11" s="58">
        <v>56</v>
      </c>
      <c r="AE11" s="49">
        <v>3.5</v>
      </c>
      <c r="AF11" s="51">
        <v>598.5</v>
      </c>
      <c r="AG11" s="51">
        <v>5267</v>
      </c>
      <c r="AH11" s="51">
        <v>10640</v>
      </c>
      <c r="AI11" s="51">
        <v>2660</v>
      </c>
      <c r="AJ11" s="51">
        <v>831</v>
      </c>
      <c r="AK11" s="51">
        <v>2550</v>
      </c>
      <c r="AL11" s="51">
        <v>1842</v>
      </c>
      <c r="AM11" s="50">
        <f t="shared" si="13"/>
        <v>27615.063839583334</v>
      </c>
      <c r="AN11" s="51">
        <v>4760</v>
      </c>
      <c r="AO11" s="51">
        <v>38150</v>
      </c>
      <c r="AP11" s="51">
        <f t="shared" si="8"/>
        <v>42910</v>
      </c>
      <c r="AQ11" s="5">
        <f t="shared" ref="AQ11:AQ28" si="14">(AP11/AM11)-1</f>
        <v>0.55386206055019005</v>
      </c>
    </row>
    <row r="12" spans="1:63" x14ac:dyDescent="0.3">
      <c r="B12" s="27" t="s">
        <v>51</v>
      </c>
      <c r="C12" s="28" t="s">
        <v>45</v>
      </c>
      <c r="D12" s="28" t="s">
        <v>46</v>
      </c>
      <c r="E12" s="29">
        <f t="shared" ref="E12:E20" si="15">7*52</f>
        <v>364</v>
      </c>
      <c r="F12" s="28">
        <f t="shared" si="0"/>
        <v>182</v>
      </c>
      <c r="G12" s="28">
        <f t="shared" si="1"/>
        <v>364</v>
      </c>
      <c r="H12" s="28">
        <f>_xlfn.XLOOKUP(B12,'[1]Baseline 2025'!$B:$B,'[1]Baseline 2025'!$C:$C)</f>
        <v>399</v>
      </c>
      <c r="I12" s="28">
        <f t="shared" si="2"/>
        <v>145236</v>
      </c>
      <c r="J12" s="28" t="str">
        <f>_xlfn.XLOOKUP(B12,'[1]Baseline 2025'!$B:$B,'[1]Baseline 2025'!$E:$E)</f>
        <v>Short Haul</v>
      </c>
      <c r="K12" s="28">
        <f>_xlfn.XLOOKUP(B12,'[1]Baseline 2025'!$B:$B,'[1]Baseline 2025'!$I:$I)/100</f>
        <v>10660.322399999999</v>
      </c>
      <c r="L12" s="28">
        <f t="shared" si="3"/>
        <v>692920.95600000001</v>
      </c>
      <c r="M12" s="28">
        <f t="shared" si="4"/>
        <v>1.3</v>
      </c>
      <c r="N12" s="106">
        <f t="shared" si="9"/>
        <v>900.79724280000005</v>
      </c>
      <c r="O12" s="28">
        <f t="shared" si="5"/>
        <v>8.9999999999999993E-3</v>
      </c>
      <c r="P12" s="106">
        <f t="shared" si="10"/>
        <v>6.2362886039999994</v>
      </c>
      <c r="Q12" s="106">
        <f t="shared" si="11"/>
        <v>2.9999999999999997E-5</v>
      </c>
      <c r="R12" s="106">
        <f t="shared" si="12"/>
        <v>2.0787628679999996E-2</v>
      </c>
      <c r="S12">
        <v>100</v>
      </c>
      <c r="T12">
        <f>G12*S12*assumptions!$D$6</f>
        <v>30940</v>
      </c>
      <c r="U12">
        <v>10.9</v>
      </c>
      <c r="V12" s="57">
        <v>5.5555555555555552E-2</v>
      </c>
      <c r="W12" s="48">
        <v>1464.33</v>
      </c>
      <c r="X12" s="48">
        <f t="shared" si="6"/>
        <v>951.81449999999995</v>
      </c>
      <c r="Y12" s="51">
        <f>X12*assumptions!$C$8</f>
        <v>1713.2661000000001</v>
      </c>
      <c r="Z12" s="20">
        <f t="shared" si="7"/>
        <v>6.1217129166666666</v>
      </c>
      <c r="AA12" s="51">
        <f>Z12*assumptions!$C$11</f>
        <v>581.56272708333336</v>
      </c>
      <c r="AB12">
        <v>2</v>
      </c>
      <c r="AC12">
        <v>3</v>
      </c>
      <c r="AD12" s="58">
        <v>50</v>
      </c>
      <c r="AE12" s="49">
        <v>3.5</v>
      </c>
      <c r="AF12" s="51">
        <v>598.5</v>
      </c>
      <c r="AG12" s="51">
        <v>5024</v>
      </c>
      <c r="AH12" s="51">
        <v>10640</v>
      </c>
      <c r="AI12" s="51">
        <v>2660</v>
      </c>
      <c r="AJ12" s="51">
        <v>831</v>
      </c>
      <c r="AK12" s="51">
        <v>2550</v>
      </c>
      <c r="AL12" s="51">
        <v>1757</v>
      </c>
      <c r="AM12" s="50">
        <f t="shared" si="13"/>
        <v>26355.328827083333</v>
      </c>
      <c r="AN12" s="51">
        <v>4250</v>
      </c>
      <c r="AO12" s="51">
        <v>38150</v>
      </c>
      <c r="AP12" s="51">
        <f t="shared" si="8"/>
        <v>42400</v>
      </c>
      <c r="AQ12" s="5">
        <f t="shared" si="14"/>
        <v>0.60878281117968069</v>
      </c>
    </row>
    <row r="13" spans="1:63" x14ac:dyDescent="0.3">
      <c r="B13" s="27" t="s">
        <v>52</v>
      </c>
      <c r="C13" s="28" t="s">
        <v>45</v>
      </c>
      <c r="D13" s="28" t="s">
        <v>46</v>
      </c>
      <c r="E13" s="29">
        <f t="shared" si="15"/>
        <v>364</v>
      </c>
      <c r="F13" s="28">
        <f t="shared" si="0"/>
        <v>182</v>
      </c>
      <c r="G13" s="28">
        <f t="shared" si="1"/>
        <v>364</v>
      </c>
      <c r="H13" s="28">
        <f>_xlfn.XLOOKUP(B13,'[1]Baseline 2025'!$B:$B,'[1]Baseline 2025'!$C:$C)</f>
        <v>753</v>
      </c>
      <c r="I13" s="28">
        <f t="shared" si="2"/>
        <v>274092</v>
      </c>
      <c r="J13" s="28" t="str">
        <f>_xlfn.XLOOKUP(B13,'[1]Baseline 2025'!$B:$B,'[1]Baseline 2025'!$E:$E)</f>
        <v>Short Haul</v>
      </c>
      <c r="K13" s="28">
        <f>_xlfn.XLOOKUP(B13,'[1]Baseline 2025'!$B:$B,'[1]Baseline 2025'!$I:$I)/100</f>
        <v>20118.352800000001</v>
      </c>
      <c r="L13" s="28">
        <f t="shared" si="3"/>
        <v>1307692.932</v>
      </c>
      <c r="M13" s="28">
        <f t="shared" si="4"/>
        <v>1.3</v>
      </c>
      <c r="N13" s="106">
        <f t="shared" si="9"/>
        <v>1700.0008116000001</v>
      </c>
      <c r="O13" s="28">
        <f t="shared" si="5"/>
        <v>8.9999999999999993E-3</v>
      </c>
      <c r="P13" s="106">
        <f t="shared" si="10"/>
        <v>11.769236387999999</v>
      </c>
      <c r="Q13" s="106">
        <f t="shared" si="11"/>
        <v>2.9999999999999997E-5</v>
      </c>
      <c r="R13" s="106">
        <f t="shared" si="12"/>
        <v>3.9230787959999999E-2</v>
      </c>
      <c r="S13">
        <v>100</v>
      </c>
      <c r="T13">
        <f>G13*S13*assumptions!$D$6</f>
        <v>30940</v>
      </c>
      <c r="U13">
        <v>10.9</v>
      </c>
      <c r="V13" s="57">
        <v>6.9444444444444448E-2</v>
      </c>
      <c r="W13" s="48">
        <v>2763.5099999999998</v>
      </c>
      <c r="X13" s="48">
        <f t="shared" si="6"/>
        <v>1796.2814999999998</v>
      </c>
      <c r="Y13" s="51">
        <f>X13*assumptions!$C$8</f>
        <v>3233.3066999999996</v>
      </c>
      <c r="Z13" s="20">
        <f t="shared" si="7"/>
        <v>11.55300708333333</v>
      </c>
      <c r="AA13" s="51">
        <f>Z13*assumptions!$C$11</f>
        <v>1097.5356729166665</v>
      </c>
      <c r="AB13">
        <v>2</v>
      </c>
      <c r="AC13">
        <v>3</v>
      </c>
      <c r="AD13" s="58">
        <v>62</v>
      </c>
      <c r="AE13" s="49">
        <v>3.5</v>
      </c>
      <c r="AF13" s="51">
        <v>747</v>
      </c>
      <c r="AG13" s="51">
        <v>5555</v>
      </c>
      <c r="AH13" s="51">
        <v>13280</v>
      </c>
      <c r="AI13" s="51">
        <v>3320</v>
      </c>
      <c r="AJ13" s="51">
        <v>1038</v>
      </c>
      <c r="AK13" s="51">
        <v>2550</v>
      </c>
      <c r="AL13" s="51">
        <v>2202</v>
      </c>
      <c r="AM13" s="50">
        <f t="shared" si="13"/>
        <v>33022.842372916668</v>
      </c>
      <c r="AN13" s="51">
        <v>5270</v>
      </c>
      <c r="AO13" s="51">
        <v>38150</v>
      </c>
      <c r="AP13" s="51">
        <f t="shared" si="8"/>
        <v>43420</v>
      </c>
      <c r="AQ13" s="5">
        <f t="shared" si="14"/>
        <v>0.31484744740236081</v>
      </c>
    </row>
    <row r="14" spans="1:63" x14ac:dyDescent="0.3">
      <c r="B14" s="27" t="s">
        <v>53</v>
      </c>
      <c r="C14" s="28" t="s">
        <v>45</v>
      </c>
      <c r="D14" s="28" t="s">
        <v>46</v>
      </c>
      <c r="E14" s="29">
        <f t="shared" si="15"/>
        <v>364</v>
      </c>
      <c r="F14" s="28">
        <f t="shared" si="0"/>
        <v>182</v>
      </c>
      <c r="G14" s="28">
        <f t="shared" si="1"/>
        <v>364</v>
      </c>
      <c r="H14" s="28">
        <f>_xlfn.XLOOKUP(B14,'[1]Baseline 2025'!$B:$B,'[1]Baseline 2025'!$C:$C)</f>
        <v>1970</v>
      </c>
      <c r="I14" s="28">
        <f t="shared" si="2"/>
        <v>717080</v>
      </c>
      <c r="J14" s="28" t="str">
        <f>_xlfn.XLOOKUP(B14,'[1]Baseline 2025'!$B:$B,'[1]Baseline 2025'!$E:$E)</f>
        <v>Short Haul</v>
      </c>
      <c r="K14" s="28">
        <f>_xlfn.XLOOKUP(B14,'[1]Baseline 2025'!$B:$B,'[1]Baseline 2025'!$I:$I)/100</f>
        <v>52633.671999999991</v>
      </c>
      <c r="L14" s="28">
        <f t="shared" si="3"/>
        <v>3421188.6799999997</v>
      </c>
      <c r="M14" s="28">
        <f t="shared" si="4"/>
        <v>1.3</v>
      </c>
      <c r="N14" s="106">
        <f t="shared" si="9"/>
        <v>4447.5452839999998</v>
      </c>
      <c r="O14" s="28">
        <f t="shared" si="5"/>
        <v>8.9999999999999993E-3</v>
      </c>
      <c r="P14" s="106">
        <f t="shared" si="10"/>
        <v>30.790698119999995</v>
      </c>
      <c r="Q14" s="106">
        <f t="shared" si="11"/>
        <v>2.9999999999999997E-5</v>
      </c>
      <c r="R14" s="106">
        <f t="shared" si="12"/>
        <v>0.10263566039999998</v>
      </c>
      <c r="S14">
        <v>100</v>
      </c>
      <c r="T14">
        <f>G14*S14*assumptions!$D$6</f>
        <v>30940</v>
      </c>
      <c r="U14">
        <v>10.9</v>
      </c>
      <c r="V14" s="57">
        <v>0.125</v>
      </c>
      <c r="W14" s="48">
        <v>7229.9</v>
      </c>
      <c r="X14" s="48">
        <f t="shared" si="6"/>
        <v>4699.4349999999995</v>
      </c>
      <c r="Y14" s="51">
        <f>X14*assumptions!$C$8</f>
        <v>8458.9830000000002</v>
      </c>
      <c r="Z14" s="20">
        <f t="shared" si="7"/>
        <v>30.224998611111104</v>
      </c>
      <c r="AA14" s="51">
        <f>Z14*assumptions!$C$11</f>
        <v>2871.374868055555</v>
      </c>
      <c r="AB14">
        <v>2</v>
      </c>
      <c r="AC14">
        <v>3</v>
      </c>
      <c r="AD14" s="58">
        <v>275</v>
      </c>
      <c r="AE14" s="49">
        <v>3.5</v>
      </c>
      <c r="AF14" s="51">
        <v>1350</v>
      </c>
      <c r="AG14" s="51">
        <v>7380</v>
      </c>
      <c r="AH14" s="51">
        <v>24000</v>
      </c>
      <c r="AI14" s="51">
        <v>6000</v>
      </c>
      <c r="AJ14" s="51">
        <v>1875</v>
      </c>
      <c r="AK14" s="51">
        <v>2550</v>
      </c>
      <c r="AL14" s="51">
        <v>3893</v>
      </c>
      <c r="AM14" s="50">
        <f t="shared" si="13"/>
        <v>58378.357868055558</v>
      </c>
      <c r="AN14" s="51">
        <v>23375</v>
      </c>
      <c r="AO14" s="51">
        <v>38150</v>
      </c>
      <c r="AP14" s="51">
        <f t="shared" si="8"/>
        <v>61525</v>
      </c>
      <c r="AQ14" s="5">
        <f t="shared" si="14"/>
        <v>5.3900833234404422E-2</v>
      </c>
    </row>
    <row r="15" spans="1:63" x14ac:dyDescent="0.3">
      <c r="B15" s="27" t="s">
        <v>54</v>
      </c>
      <c r="C15" s="28" t="s">
        <v>45</v>
      </c>
      <c r="D15" s="28" t="s">
        <v>46</v>
      </c>
      <c r="E15" s="29">
        <f t="shared" si="15"/>
        <v>364</v>
      </c>
      <c r="F15" s="28">
        <f t="shared" si="0"/>
        <v>182</v>
      </c>
      <c r="G15" s="28">
        <f t="shared" si="1"/>
        <v>364</v>
      </c>
      <c r="H15" s="28">
        <f>_xlfn.XLOOKUP(B15,'[1]Baseline 2025'!$B:$B,'[1]Baseline 2025'!$C:$C)</f>
        <v>1848</v>
      </c>
      <c r="I15" s="28">
        <f t="shared" si="2"/>
        <v>672672</v>
      </c>
      <c r="J15" s="28" t="str">
        <f>_xlfn.XLOOKUP(B15,'[1]Baseline 2025'!$B:$B,'[1]Baseline 2025'!$E:$E)</f>
        <v>Short Haul</v>
      </c>
      <c r="K15" s="28">
        <f>_xlfn.XLOOKUP(B15,'[1]Baseline 2025'!$B:$B,'[1]Baseline 2025'!$I:$I)/100</f>
        <v>49374.124799999998</v>
      </c>
      <c r="L15" s="28">
        <f t="shared" si="3"/>
        <v>3209318.1119999997</v>
      </c>
      <c r="M15" s="28">
        <f t="shared" si="4"/>
        <v>1.3</v>
      </c>
      <c r="N15" s="106">
        <f t="shared" si="9"/>
        <v>4172.1135456000002</v>
      </c>
      <c r="O15" s="28">
        <f t="shared" si="5"/>
        <v>8.9999999999999993E-3</v>
      </c>
      <c r="P15" s="106">
        <f t="shared" si="10"/>
        <v>28.883863007999995</v>
      </c>
      <c r="Q15" s="106">
        <f t="shared" si="11"/>
        <v>2.9999999999999997E-5</v>
      </c>
      <c r="R15" s="106">
        <f t="shared" si="12"/>
        <v>9.6279543359999983E-2</v>
      </c>
      <c r="S15">
        <v>100</v>
      </c>
      <c r="T15">
        <f>G15*S15*assumptions!$D$6</f>
        <v>30940</v>
      </c>
      <c r="U15">
        <v>10.9</v>
      </c>
      <c r="V15" s="57">
        <v>0.13194444444444445</v>
      </c>
      <c r="W15" s="48">
        <v>6782.16</v>
      </c>
      <c r="X15" s="48">
        <f t="shared" si="6"/>
        <v>4408.4040000000005</v>
      </c>
      <c r="Y15" s="51">
        <f>X15*assumptions!$C$8</f>
        <v>7935.1272000000008</v>
      </c>
      <c r="Z15" s="20">
        <f t="shared" si="7"/>
        <v>28.353196666666662</v>
      </c>
      <c r="AA15" s="51">
        <f>Z15*assumptions!$C$11</f>
        <v>2693.5536833333331</v>
      </c>
      <c r="AB15">
        <v>2</v>
      </c>
      <c r="AC15">
        <v>3</v>
      </c>
      <c r="AD15" s="58">
        <v>287</v>
      </c>
      <c r="AE15" s="49">
        <v>3.5</v>
      </c>
      <c r="AF15" s="51">
        <v>1425</v>
      </c>
      <c r="AG15" s="51">
        <v>7197</v>
      </c>
      <c r="AH15" s="51">
        <v>25333.599999999999</v>
      </c>
      <c r="AI15" s="51">
        <v>6333.4</v>
      </c>
      <c r="AJ15" s="51">
        <v>1979</v>
      </c>
      <c r="AK15" s="51">
        <v>2550</v>
      </c>
      <c r="AL15" s="51">
        <v>3962</v>
      </c>
      <c r="AM15" s="50">
        <f t="shared" si="13"/>
        <v>59408.680883333334</v>
      </c>
      <c r="AN15" s="51">
        <v>24395</v>
      </c>
      <c r="AO15" s="51">
        <v>38150</v>
      </c>
      <c r="AP15" s="51">
        <f t="shared" si="8"/>
        <v>62545</v>
      </c>
      <c r="AQ15" s="5">
        <f t="shared" si="14"/>
        <v>5.279226991802366E-2</v>
      </c>
    </row>
    <row r="16" spans="1:63" x14ac:dyDescent="0.3">
      <c r="B16" s="27" t="s">
        <v>55</v>
      </c>
      <c r="C16" s="28" t="s">
        <v>45</v>
      </c>
      <c r="D16" s="28" t="s">
        <v>46</v>
      </c>
      <c r="E16" s="29">
        <f t="shared" si="15"/>
        <v>364</v>
      </c>
      <c r="F16" s="28">
        <f t="shared" si="0"/>
        <v>182</v>
      </c>
      <c r="G16" s="28">
        <f t="shared" si="1"/>
        <v>364</v>
      </c>
      <c r="H16" s="28">
        <f>_xlfn.XLOOKUP(B16,'[1]Baseline 2025'!$B:$B,'[1]Baseline 2025'!$C:$C)</f>
        <v>665</v>
      </c>
      <c r="I16" s="28">
        <f t="shared" si="2"/>
        <v>242060</v>
      </c>
      <c r="J16" s="28" t="str">
        <f>_xlfn.XLOOKUP(B16,'[1]Baseline 2025'!$B:$B,'[1]Baseline 2025'!$E:$E)</f>
        <v>Short Haul</v>
      </c>
      <c r="K16" s="28">
        <f>_xlfn.XLOOKUP(B16,'[1]Baseline 2025'!$B:$B,'[1]Baseline 2025'!$I:$I)/100</f>
        <v>17767.203999999998</v>
      </c>
      <c r="L16" s="28">
        <f t="shared" si="3"/>
        <v>1154868.26</v>
      </c>
      <c r="M16" s="28">
        <f t="shared" si="4"/>
        <v>1.3</v>
      </c>
      <c r="N16" s="106">
        <f t="shared" si="9"/>
        <v>1501.3287380000002</v>
      </c>
      <c r="O16" s="28">
        <f t="shared" si="5"/>
        <v>8.9999999999999993E-3</v>
      </c>
      <c r="P16" s="106">
        <f t="shared" si="10"/>
        <v>10.393814339999999</v>
      </c>
      <c r="Q16" s="106">
        <f t="shared" si="11"/>
        <v>2.9999999999999997E-5</v>
      </c>
      <c r="R16" s="106">
        <f t="shared" si="12"/>
        <v>3.4646047799999996E-2</v>
      </c>
      <c r="S16">
        <v>100</v>
      </c>
      <c r="T16">
        <f>G16*S16*assumptions!$D$6</f>
        <v>30940</v>
      </c>
      <c r="U16">
        <v>10.9</v>
      </c>
      <c r="V16" s="57">
        <v>5.9027777777777776E-2</v>
      </c>
      <c r="W16" s="48">
        <v>2440.5499999999997</v>
      </c>
      <c r="X16" s="48">
        <f t="shared" si="6"/>
        <v>1586.3574999999998</v>
      </c>
      <c r="Y16" s="51">
        <f>X16*assumptions!$C$8</f>
        <v>2855.4434999999999</v>
      </c>
      <c r="Z16" s="20">
        <f t="shared" si="7"/>
        <v>10.20285486111111</v>
      </c>
      <c r="AA16" s="51">
        <f>Z16*assumptions!$C$11</f>
        <v>969.27121180555548</v>
      </c>
      <c r="AB16">
        <v>2</v>
      </c>
      <c r="AC16">
        <v>3</v>
      </c>
      <c r="AD16" s="58">
        <v>60</v>
      </c>
      <c r="AE16" s="49">
        <v>3.5</v>
      </c>
      <c r="AF16" s="51">
        <v>639</v>
      </c>
      <c r="AG16" s="51">
        <v>5423</v>
      </c>
      <c r="AH16" s="51">
        <v>11360</v>
      </c>
      <c r="AI16" s="51">
        <v>2840</v>
      </c>
      <c r="AJ16" s="51">
        <v>888</v>
      </c>
      <c r="AK16" s="51">
        <v>2550</v>
      </c>
      <c r="AL16" s="51">
        <v>1967</v>
      </c>
      <c r="AM16" s="50">
        <f t="shared" si="13"/>
        <v>29491.714711805558</v>
      </c>
      <c r="AN16" s="51">
        <v>5138.25</v>
      </c>
      <c r="AO16" s="51">
        <v>38150</v>
      </c>
      <c r="AP16" s="51">
        <f t="shared" si="8"/>
        <v>43288.25</v>
      </c>
      <c r="AQ16" s="5">
        <f t="shared" si="14"/>
        <v>0.46781055028555785</v>
      </c>
    </row>
    <row r="17" spans="1:43" x14ac:dyDescent="0.3">
      <c r="B17" s="27" t="s">
        <v>56</v>
      </c>
      <c r="C17" s="28" t="s">
        <v>45</v>
      </c>
      <c r="D17" s="28" t="s">
        <v>46</v>
      </c>
      <c r="E17" s="29">
        <f t="shared" si="15"/>
        <v>364</v>
      </c>
      <c r="F17" s="28">
        <f t="shared" si="0"/>
        <v>182</v>
      </c>
      <c r="G17" s="28">
        <f t="shared" si="1"/>
        <v>364</v>
      </c>
      <c r="H17" s="28">
        <f>_xlfn.XLOOKUP(B17,'[1]Baseline 2025'!$B:$B,'[1]Baseline 2025'!$C:$C)</f>
        <v>961</v>
      </c>
      <c r="I17" s="28">
        <f t="shared" si="2"/>
        <v>349804</v>
      </c>
      <c r="J17" s="28" t="str">
        <f>_xlfn.XLOOKUP(B17,'[1]Baseline 2025'!$B:$B,'[1]Baseline 2025'!$E:$E)</f>
        <v>Short Haul</v>
      </c>
      <c r="K17" s="28">
        <f>_xlfn.XLOOKUP(B17,'[1]Baseline 2025'!$B:$B,'[1]Baseline 2025'!$I:$I)/100</f>
        <v>25675.613599999997</v>
      </c>
      <c r="L17" s="28">
        <f t="shared" si="3"/>
        <v>1668914.8840000001</v>
      </c>
      <c r="M17" s="28">
        <f t="shared" si="4"/>
        <v>1.3</v>
      </c>
      <c r="N17" s="106">
        <f t="shared" si="9"/>
        <v>2169.5893492</v>
      </c>
      <c r="O17" s="28">
        <f t="shared" si="5"/>
        <v>8.9999999999999993E-3</v>
      </c>
      <c r="P17" s="106">
        <f t="shared" si="10"/>
        <v>15.020233956</v>
      </c>
      <c r="Q17" s="106">
        <f t="shared" si="11"/>
        <v>2.9999999999999997E-5</v>
      </c>
      <c r="R17" s="106">
        <f t="shared" si="12"/>
        <v>5.0067446519999996E-2</v>
      </c>
      <c r="S17">
        <v>100</v>
      </c>
      <c r="T17">
        <f>G17*S17*assumptions!$D$6</f>
        <v>30940</v>
      </c>
      <c r="U17">
        <v>10.9</v>
      </c>
      <c r="V17" s="57">
        <v>7.2916666666666671E-2</v>
      </c>
      <c r="W17" s="48">
        <v>3526.87</v>
      </c>
      <c r="X17" s="48">
        <f t="shared" si="6"/>
        <v>2292.4654999999998</v>
      </c>
      <c r="Y17" s="51">
        <f>X17*assumptions!$C$8</f>
        <v>4126.4378999999999</v>
      </c>
      <c r="Z17" s="20">
        <f t="shared" si="7"/>
        <v>14.744275972222219</v>
      </c>
      <c r="AA17" s="51">
        <f>Z17*assumptions!$C$11</f>
        <v>1400.7062173611109</v>
      </c>
      <c r="AB17">
        <v>2</v>
      </c>
      <c r="AC17">
        <v>3</v>
      </c>
      <c r="AD17" s="58">
        <v>65</v>
      </c>
      <c r="AE17" s="49">
        <v>3.5</v>
      </c>
      <c r="AF17" s="51">
        <v>787.5</v>
      </c>
      <c r="AG17" s="51">
        <v>5867</v>
      </c>
      <c r="AH17" s="51">
        <v>14000</v>
      </c>
      <c r="AI17" s="51">
        <v>3500</v>
      </c>
      <c r="AJ17" s="51">
        <v>1094</v>
      </c>
      <c r="AK17" s="51">
        <v>2550</v>
      </c>
      <c r="AL17" s="51">
        <v>2381</v>
      </c>
      <c r="AM17" s="50">
        <f t="shared" si="13"/>
        <v>35706.644117361117</v>
      </c>
      <c r="AN17" s="51">
        <v>5525</v>
      </c>
      <c r="AO17" s="51">
        <v>38150</v>
      </c>
      <c r="AP17" s="51">
        <f t="shared" si="8"/>
        <v>43675</v>
      </c>
      <c r="AQ17" s="66">
        <f t="shared" si="14"/>
        <v>0.22316171344605706</v>
      </c>
    </row>
    <row r="18" spans="1:43" x14ac:dyDescent="0.3">
      <c r="B18" s="27" t="s">
        <v>57</v>
      </c>
      <c r="C18" s="28" t="s">
        <v>45</v>
      </c>
      <c r="D18" s="28" t="s">
        <v>46</v>
      </c>
      <c r="E18" s="29">
        <f t="shared" si="15"/>
        <v>364</v>
      </c>
      <c r="F18" s="28">
        <f t="shared" si="0"/>
        <v>182</v>
      </c>
      <c r="G18" s="28">
        <f t="shared" si="1"/>
        <v>364</v>
      </c>
      <c r="H18" s="28">
        <f>_xlfn.XLOOKUP(B18,'[1]Baseline 2025'!$B:$B,'[1]Baseline 2025'!$C:$C)</f>
        <v>1426</v>
      </c>
      <c r="I18" s="28">
        <f t="shared" si="2"/>
        <v>519064</v>
      </c>
      <c r="J18" s="28" t="str">
        <f>_xlfn.XLOOKUP(B18,'[1]Baseline 2025'!$B:$B,'[1]Baseline 2025'!$E:$E)</f>
        <v>Short Haul</v>
      </c>
      <c r="K18" s="28">
        <f>_xlfn.XLOOKUP(B18,'[1]Baseline 2025'!$B:$B,'[1]Baseline 2025'!$I:$I)/100</f>
        <v>38099.297600000005</v>
      </c>
      <c r="L18" s="28">
        <f t="shared" si="3"/>
        <v>2476454.3440000005</v>
      </c>
      <c r="M18" s="28">
        <f t="shared" si="4"/>
        <v>1.3</v>
      </c>
      <c r="N18" s="106">
        <f t="shared" si="9"/>
        <v>3219.3906472000008</v>
      </c>
      <c r="O18" s="28">
        <f t="shared" si="5"/>
        <v>8.9999999999999993E-3</v>
      </c>
      <c r="P18" s="106">
        <f t="shared" si="10"/>
        <v>22.288089096000004</v>
      </c>
      <c r="Q18" s="106">
        <f t="shared" si="11"/>
        <v>2.9999999999999997E-5</v>
      </c>
      <c r="R18" s="106">
        <f t="shared" si="12"/>
        <v>7.4293630320000012E-2</v>
      </c>
      <c r="S18">
        <v>100</v>
      </c>
      <c r="T18">
        <f>G18*S18*assumptions!$D$6</f>
        <v>30940</v>
      </c>
      <c r="U18">
        <v>10.9</v>
      </c>
      <c r="V18" s="57">
        <v>0.10069444444444445</v>
      </c>
      <c r="W18" s="48">
        <v>5233.42</v>
      </c>
      <c r="X18" s="48">
        <f t="shared" si="6"/>
        <v>3401.723</v>
      </c>
      <c r="Y18" s="51">
        <f>X18*assumptions!$C$8</f>
        <v>6123.1014000000005</v>
      </c>
      <c r="Z18" s="20">
        <f t="shared" si="7"/>
        <v>21.878603055555551</v>
      </c>
      <c r="AA18" s="51">
        <f>Z18*assumptions!$C$11</f>
        <v>2078.4672902777775</v>
      </c>
      <c r="AB18">
        <v>2</v>
      </c>
      <c r="AC18">
        <v>3</v>
      </c>
      <c r="AD18" s="60">
        <v>137</v>
      </c>
      <c r="AE18" s="49">
        <v>3.5</v>
      </c>
      <c r="AF18" s="51">
        <v>1089</v>
      </c>
      <c r="AG18" s="51">
        <v>6564</v>
      </c>
      <c r="AH18" s="51">
        <v>19360</v>
      </c>
      <c r="AI18" s="51">
        <v>4840</v>
      </c>
      <c r="AJ18" s="51">
        <v>1513</v>
      </c>
      <c r="AK18" s="51">
        <v>2550</v>
      </c>
      <c r="AL18" s="51">
        <v>3152</v>
      </c>
      <c r="AM18" s="50">
        <f t="shared" si="13"/>
        <v>47269.568690277774</v>
      </c>
      <c r="AN18" s="51">
        <v>11645</v>
      </c>
      <c r="AO18" s="51">
        <v>38150</v>
      </c>
      <c r="AP18" s="51">
        <f t="shared" si="8"/>
        <v>49795</v>
      </c>
      <c r="AQ18" s="5">
        <f t="shared" si="14"/>
        <v>5.3426155128884156E-2</v>
      </c>
    </row>
    <row r="19" spans="1:43" x14ac:dyDescent="0.3">
      <c r="B19" s="27" t="s">
        <v>58</v>
      </c>
      <c r="C19" s="28" t="s">
        <v>45</v>
      </c>
      <c r="D19" s="28" t="s">
        <v>46</v>
      </c>
      <c r="E19" s="29">
        <f t="shared" si="15"/>
        <v>364</v>
      </c>
      <c r="F19" s="28">
        <f t="shared" si="0"/>
        <v>182</v>
      </c>
      <c r="G19" s="28">
        <f t="shared" si="1"/>
        <v>364</v>
      </c>
      <c r="H19" s="28">
        <f>_xlfn.XLOOKUP(B19,'[1]Baseline 2025'!$B:$B,'[1]Baseline 2025'!$C:$C)</f>
        <v>962</v>
      </c>
      <c r="I19" s="28">
        <f t="shared" si="2"/>
        <v>350168</v>
      </c>
      <c r="J19" s="28" t="str">
        <f>_xlfn.XLOOKUP(B19,'[1]Baseline 2025'!$B:$B,'[1]Baseline 2025'!$E:$E)</f>
        <v>Short Haul</v>
      </c>
      <c r="K19" s="28">
        <f>_xlfn.XLOOKUP(B19,'[1]Baseline 2025'!$B:$B,'[1]Baseline 2025'!$I:$I)/100</f>
        <v>25702.331200000001</v>
      </c>
      <c r="L19" s="28">
        <f t="shared" si="3"/>
        <v>1670651.5280000002</v>
      </c>
      <c r="M19" s="28">
        <f t="shared" si="4"/>
        <v>1.3</v>
      </c>
      <c r="N19" s="106">
        <f t="shared" si="9"/>
        <v>2171.8469864000003</v>
      </c>
      <c r="O19" s="28">
        <f t="shared" si="5"/>
        <v>8.9999999999999993E-3</v>
      </c>
      <c r="P19" s="106">
        <f t="shared" si="10"/>
        <v>15.035863752000001</v>
      </c>
      <c r="Q19" s="106">
        <f t="shared" si="11"/>
        <v>2.9999999999999997E-5</v>
      </c>
      <c r="R19" s="106">
        <f t="shared" si="12"/>
        <v>5.0119545840000002E-2</v>
      </c>
      <c r="S19">
        <v>100</v>
      </c>
      <c r="T19">
        <f>G19*S19*assumptions!$D$6</f>
        <v>30940</v>
      </c>
      <c r="U19">
        <v>10.9</v>
      </c>
      <c r="V19" s="57">
        <v>7.2916666666666671E-2</v>
      </c>
      <c r="W19" s="48">
        <v>3530.54</v>
      </c>
      <c r="X19" s="48">
        <f t="shared" si="6"/>
        <v>2294.8510000000001</v>
      </c>
      <c r="Y19" s="51">
        <f>X19*assumptions!$C$8</f>
        <v>4130.7318000000005</v>
      </c>
      <c r="Z19" s="20">
        <f t="shared" si="7"/>
        <v>14.75961861111111</v>
      </c>
      <c r="AA19" s="51">
        <f>Z19*assumptions!$C$11</f>
        <v>1402.1637680555555</v>
      </c>
      <c r="AB19">
        <v>2</v>
      </c>
      <c r="AC19">
        <v>3</v>
      </c>
      <c r="AD19" s="58">
        <v>68.2</v>
      </c>
      <c r="AE19" s="49">
        <v>3.5</v>
      </c>
      <c r="AF19" s="51">
        <v>787.5</v>
      </c>
      <c r="AG19" s="51">
        <v>5868</v>
      </c>
      <c r="AH19" s="51">
        <v>14000</v>
      </c>
      <c r="AI19" s="51">
        <v>3500</v>
      </c>
      <c r="AJ19" s="51">
        <v>1094</v>
      </c>
      <c r="AK19" s="51">
        <v>2550</v>
      </c>
      <c r="AL19" s="51">
        <v>2382</v>
      </c>
      <c r="AM19" s="50">
        <f t="shared" si="13"/>
        <v>35714.395568055559</v>
      </c>
      <c r="AN19" s="51">
        <v>5780</v>
      </c>
      <c r="AO19" s="51">
        <v>38150</v>
      </c>
      <c r="AP19" s="51">
        <f t="shared" si="8"/>
        <v>43930</v>
      </c>
      <c r="AQ19" s="5">
        <f t="shared" si="14"/>
        <v>0.23003621652476802</v>
      </c>
    </row>
    <row r="20" spans="1:43" x14ac:dyDescent="0.3">
      <c r="B20" s="27" t="s">
        <v>59</v>
      </c>
      <c r="C20" s="28" t="s">
        <v>45</v>
      </c>
      <c r="D20" s="28" t="s">
        <v>46</v>
      </c>
      <c r="E20" s="29">
        <f t="shared" si="15"/>
        <v>364</v>
      </c>
      <c r="F20" s="28">
        <f t="shared" si="0"/>
        <v>182</v>
      </c>
      <c r="G20" s="28">
        <f t="shared" si="1"/>
        <v>364</v>
      </c>
      <c r="H20" s="28">
        <f>_xlfn.XLOOKUP(B20,'[1]Baseline 2025'!$B:$B,'[1]Baseline 2025'!$C:$C)</f>
        <v>1105</v>
      </c>
      <c r="I20" s="28">
        <f t="shared" si="2"/>
        <v>402220</v>
      </c>
      <c r="J20" s="28" t="str">
        <f>_xlfn.XLOOKUP(B20,'[1]Baseline 2025'!$B:$B,'[1]Baseline 2025'!$E:$E)</f>
        <v>Short Haul</v>
      </c>
      <c r="K20" s="28">
        <f>_xlfn.XLOOKUP(B20,'[1]Baseline 2025'!$B:$B,'[1]Baseline 2025'!$I:$I)/100</f>
        <v>29522.948000000004</v>
      </c>
      <c r="L20" s="28">
        <f t="shared" si="3"/>
        <v>1918991.6200000003</v>
      </c>
      <c r="M20" s="28">
        <f t="shared" si="4"/>
        <v>1.3</v>
      </c>
      <c r="N20" s="106">
        <f t="shared" si="9"/>
        <v>2494.6891060000007</v>
      </c>
      <c r="O20" s="28">
        <f t="shared" si="5"/>
        <v>8.9999999999999993E-3</v>
      </c>
      <c r="P20" s="106">
        <f t="shared" si="10"/>
        <v>17.270924580000003</v>
      </c>
      <c r="Q20" s="106">
        <f t="shared" si="11"/>
        <v>2.9999999999999997E-5</v>
      </c>
      <c r="R20" s="106">
        <f t="shared" si="12"/>
        <v>5.7569748600000005E-2</v>
      </c>
      <c r="S20">
        <v>100</v>
      </c>
      <c r="T20">
        <f>G20*S20*assumptions!$D$6</f>
        <v>30940</v>
      </c>
      <c r="U20">
        <v>10.9</v>
      </c>
      <c r="V20" s="57">
        <v>7.9861111111111105E-2</v>
      </c>
      <c r="W20" s="48">
        <v>4055.35</v>
      </c>
      <c r="X20" s="48">
        <f t="shared" si="6"/>
        <v>2635.9775</v>
      </c>
      <c r="Y20" s="51">
        <f>X20*assumptions!$C$8</f>
        <v>4744.7595000000001</v>
      </c>
      <c r="Z20" s="20">
        <f t="shared" si="7"/>
        <v>16.95361597222222</v>
      </c>
      <c r="AA20" s="51">
        <f>Z20*assumptions!$C$11</f>
        <v>1610.593517361111</v>
      </c>
      <c r="AB20">
        <v>2</v>
      </c>
      <c r="AC20">
        <v>3</v>
      </c>
      <c r="AD20" s="58">
        <v>74.25</v>
      </c>
      <c r="AE20" s="49">
        <v>3.5</v>
      </c>
      <c r="AF20" s="51">
        <v>859.5</v>
      </c>
      <c r="AG20" s="51">
        <v>6083</v>
      </c>
      <c r="AH20" s="51">
        <v>15280</v>
      </c>
      <c r="AI20" s="51">
        <v>3820</v>
      </c>
      <c r="AJ20" s="51">
        <v>1194</v>
      </c>
      <c r="AK20" s="51">
        <v>2550</v>
      </c>
      <c r="AL20" s="51">
        <v>2765</v>
      </c>
      <c r="AM20" s="50">
        <f t="shared" si="13"/>
        <v>38906.853017361114</v>
      </c>
      <c r="AN20" s="51">
        <v>6311.25</v>
      </c>
      <c r="AO20" s="51">
        <v>38150</v>
      </c>
      <c r="AP20" s="51">
        <f t="shared" si="8"/>
        <v>44461.25</v>
      </c>
      <c r="AQ20" s="5">
        <f t="shared" si="14"/>
        <v>0.14276140453098041</v>
      </c>
    </row>
    <row r="21" spans="1:43" x14ac:dyDescent="0.3">
      <c r="B21" s="27" t="s">
        <v>60</v>
      </c>
      <c r="C21" s="28" t="s">
        <v>45</v>
      </c>
      <c r="D21" s="28" t="s">
        <v>46</v>
      </c>
      <c r="E21" s="29">
        <f>14*52*2</f>
        <v>1456</v>
      </c>
      <c r="F21" s="28">
        <f t="shared" si="0"/>
        <v>728</v>
      </c>
      <c r="G21" s="28">
        <f t="shared" si="1"/>
        <v>1456</v>
      </c>
      <c r="H21" s="28">
        <f>_xlfn.XLOOKUP(B21,'[1]Baseline 2025'!$B:$B,'[1]Baseline 2025'!$C:$C)</f>
        <v>603</v>
      </c>
      <c r="I21" s="28">
        <f t="shared" si="2"/>
        <v>877968</v>
      </c>
      <c r="J21" s="28" t="str">
        <f>_xlfn.XLOOKUP(B21,'[1]Baseline 2025'!$B:$B,'[1]Baseline 2025'!$E:$E)</f>
        <v>Short Haul</v>
      </c>
      <c r="K21" s="28">
        <f>_xlfn.XLOOKUP(B21,'[1]Baseline 2025'!$B:$B,'[1]Baseline 2025'!$I:$I)/100</f>
        <v>32221.425599999995</v>
      </c>
      <c r="L21" s="28">
        <f t="shared" si="3"/>
        <v>2094392.6639999999</v>
      </c>
      <c r="M21" s="28">
        <f t="shared" si="4"/>
        <v>1.3</v>
      </c>
      <c r="N21" s="106">
        <f t="shared" si="9"/>
        <v>2722.7104632</v>
      </c>
      <c r="O21" s="28">
        <f t="shared" si="5"/>
        <v>8.9999999999999993E-3</v>
      </c>
      <c r="P21" s="106">
        <f t="shared" si="10"/>
        <v>18.849533976</v>
      </c>
      <c r="Q21" s="106">
        <f t="shared" si="11"/>
        <v>2.9999999999999997E-5</v>
      </c>
      <c r="R21" s="106">
        <f t="shared" si="12"/>
        <v>6.2831779919999983E-2</v>
      </c>
      <c r="S21">
        <v>100</v>
      </c>
      <c r="T21">
        <f>G21*S21*assumptions!$D$6</f>
        <v>123760</v>
      </c>
      <c r="U21">
        <v>10.9</v>
      </c>
      <c r="V21" s="57">
        <v>5.9027777777777776E-2</v>
      </c>
      <c r="W21" s="48">
        <v>2213.0099999999998</v>
      </c>
      <c r="X21" s="48">
        <f t="shared" si="6"/>
        <v>1438.4565</v>
      </c>
      <c r="Y21" s="51">
        <f>X21*assumptions!$C$8</f>
        <v>2589.2217000000001</v>
      </c>
      <c r="Z21" s="20">
        <f t="shared" si="7"/>
        <v>9.2516112499999998</v>
      </c>
      <c r="AA21" s="51">
        <f>Z21*assumptions!$C$11</f>
        <v>878.90306874999999</v>
      </c>
      <c r="AB21">
        <v>2</v>
      </c>
      <c r="AC21">
        <v>3</v>
      </c>
      <c r="AD21" s="58">
        <v>55</v>
      </c>
      <c r="AE21" s="49">
        <v>3.5</v>
      </c>
      <c r="AF21" s="51">
        <v>634.5</v>
      </c>
      <c r="AG21" s="51">
        <v>5330</v>
      </c>
      <c r="AH21" s="51">
        <v>11280</v>
      </c>
      <c r="AI21" s="51">
        <v>2820</v>
      </c>
      <c r="AJ21" s="51">
        <v>881</v>
      </c>
      <c r="AK21" s="51">
        <v>2550</v>
      </c>
      <c r="AL21" s="51">
        <v>1927</v>
      </c>
      <c r="AM21" s="50">
        <f t="shared" si="13"/>
        <v>28890.624768750004</v>
      </c>
      <c r="AN21" s="51">
        <v>4675</v>
      </c>
      <c r="AO21" s="51">
        <v>38150</v>
      </c>
      <c r="AP21" s="51">
        <f t="shared" si="8"/>
        <v>42825</v>
      </c>
      <c r="AQ21" s="5">
        <f t="shared" si="14"/>
        <v>0.48231477660262745</v>
      </c>
    </row>
    <row r="22" spans="1:43" x14ac:dyDescent="0.3">
      <c r="B22" s="61" t="s">
        <v>61</v>
      </c>
      <c r="C22" s="24" t="s">
        <v>62</v>
      </c>
      <c r="D22" s="24" t="s">
        <v>46</v>
      </c>
      <c r="E22" s="25">
        <f>3*52*2</f>
        <v>312</v>
      </c>
      <c r="F22" s="24">
        <f t="shared" si="0"/>
        <v>156</v>
      </c>
      <c r="G22" s="24">
        <f t="shared" si="1"/>
        <v>312</v>
      </c>
      <c r="H22" s="24">
        <f>_xlfn.XLOOKUP(B22,'[1]Baseline 2025'!$B:$B,'[1]Baseline 2025'!$C:$C)</f>
        <v>9217</v>
      </c>
      <c r="I22" s="24">
        <f t="shared" si="2"/>
        <v>2875704</v>
      </c>
      <c r="J22" s="24" t="str">
        <f>_xlfn.XLOOKUP(B22,'[1]Baseline 2025'!$B:$B,'[1]Baseline 2025'!$E:$E)</f>
        <v>Long Haul</v>
      </c>
      <c r="K22" s="24">
        <f>_xlfn.XLOOKUP(B22,'[1]Baseline 2025'!$B:$B,'[1]Baseline 2025'!$I:$I)/100</f>
        <v>213377.23679999998</v>
      </c>
      <c r="L22" s="28">
        <f t="shared" si="3"/>
        <v>13869520.392000001</v>
      </c>
      <c r="M22" s="28">
        <f t="shared" si="4"/>
        <v>1.3</v>
      </c>
      <c r="N22" s="107">
        <f t="shared" si="9"/>
        <v>18030.376509600002</v>
      </c>
      <c r="O22" s="28">
        <f t="shared" si="5"/>
        <v>8.9999999999999993E-3</v>
      </c>
      <c r="P22" s="106">
        <f t="shared" si="10"/>
        <v>124.825683528</v>
      </c>
      <c r="Q22" s="106">
        <f t="shared" si="11"/>
        <v>2.9999999999999997E-5</v>
      </c>
      <c r="R22" s="106">
        <f t="shared" si="12"/>
        <v>0.41608561176000003</v>
      </c>
      <c r="S22">
        <v>300</v>
      </c>
      <c r="T22">
        <f>G22*S22*assumptions!$D$6</f>
        <v>79560</v>
      </c>
      <c r="U22">
        <v>20</v>
      </c>
      <c r="V22" s="57">
        <v>0.46875</v>
      </c>
      <c r="W22" s="48">
        <v>68390.14</v>
      </c>
      <c r="X22" s="48">
        <f t="shared" si="6"/>
        <v>44453.591</v>
      </c>
      <c r="Y22" s="51">
        <f>X22*assumptions!$C$8</f>
        <v>80016.463799999998</v>
      </c>
      <c r="Z22" s="20">
        <f t="shared" si="7"/>
        <v>285.90877972222222</v>
      </c>
      <c r="AA22" s="51">
        <f>Z22*assumptions!$C$11</f>
        <v>27161.334073611109</v>
      </c>
      <c r="AB22">
        <v>3</v>
      </c>
      <c r="AC22">
        <v>12</v>
      </c>
      <c r="AD22" s="58">
        <v>997</v>
      </c>
      <c r="AE22" s="49">
        <v>3.5</v>
      </c>
      <c r="AF22" s="51">
        <v>11812.5</v>
      </c>
      <c r="AG22" s="51">
        <v>27101</v>
      </c>
      <c r="AH22" s="51">
        <v>90000</v>
      </c>
      <c r="AI22" s="51">
        <v>22500</v>
      </c>
      <c r="AJ22" s="51">
        <v>21094</v>
      </c>
      <c r="AK22" s="51">
        <v>7650</v>
      </c>
      <c r="AL22" s="51">
        <v>20532</v>
      </c>
      <c r="AM22" s="50">
        <f t="shared" si="13"/>
        <v>307867.29787361115</v>
      </c>
      <c r="AN22" s="51">
        <v>254235</v>
      </c>
      <c r="AO22" s="51">
        <v>70000</v>
      </c>
      <c r="AP22" s="51">
        <f t="shared" si="8"/>
        <v>324235</v>
      </c>
      <c r="AQ22" s="5">
        <f t="shared" si="14"/>
        <v>5.3164796129494318E-2</v>
      </c>
    </row>
    <row r="23" spans="1:43" x14ac:dyDescent="0.3">
      <c r="B23" s="61" t="s">
        <v>63</v>
      </c>
      <c r="C23" s="24" t="s">
        <v>62</v>
      </c>
      <c r="D23" s="24" t="s">
        <v>46</v>
      </c>
      <c r="E23" s="25">
        <f>3*52*2</f>
        <v>312</v>
      </c>
      <c r="F23" s="24">
        <f t="shared" si="0"/>
        <v>156</v>
      </c>
      <c r="G23" s="24">
        <f t="shared" si="1"/>
        <v>312</v>
      </c>
      <c r="H23" s="24">
        <f>_xlfn.XLOOKUP(B23,'[1]Baseline 2025'!$B:$B,'[1]Baseline 2025'!$C:$C)</f>
        <v>9285</v>
      </c>
      <c r="I23" s="24">
        <f t="shared" si="2"/>
        <v>2896920</v>
      </c>
      <c r="J23" s="24" t="str">
        <f>_xlfn.XLOOKUP(B23,'[1]Baseline 2025'!$B:$B,'[1]Baseline 2025'!$E:$E)</f>
        <v>Long Haul</v>
      </c>
      <c r="K23" s="24">
        <f>_xlfn.XLOOKUP(B23,'[1]Baseline 2025'!$B:$B,'[1]Baseline 2025'!$I:$I)/100</f>
        <v>214951.46399999998</v>
      </c>
      <c r="L23" s="28">
        <f t="shared" si="3"/>
        <v>13971845.16</v>
      </c>
      <c r="M23" s="28">
        <f t="shared" si="4"/>
        <v>1.3</v>
      </c>
      <c r="N23" s="107">
        <f t="shared" si="9"/>
        <v>18163.398708000001</v>
      </c>
      <c r="O23" s="28">
        <f t="shared" si="5"/>
        <v>8.9999999999999993E-3</v>
      </c>
      <c r="P23" s="106">
        <f t="shared" si="10"/>
        <v>125.74660643999999</v>
      </c>
      <c r="Q23" s="106">
        <f t="shared" si="11"/>
        <v>2.9999999999999997E-5</v>
      </c>
      <c r="R23" s="106">
        <f t="shared" si="12"/>
        <v>0.41915535479999994</v>
      </c>
      <c r="S23">
        <v>300</v>
      </c>
      <c r="T23">
        <f>G23*S23*assumptions!$D$6</f>
        <v>79560</v>
      </c>
      <c r="U23">
        <v>20</v>
      </c>
      <c r="V23" s="57">
        <v>0.46875</v>
      </c>
      <c r="W23" s="48">
        <v>68894.7</v>
      </c>
      <c r="X23" s="48">
        <f t="shared" si="6"/>
        <v>44781.555</v>
      </c>
      <c r="Y23" s="51">
        <f>X23*assumptions!$C$8</f>
        <v>80606.798999999999</v>
      </c>
      <c r="Z23" s="20">
        <f t="shared" si="7"/>
        <v>288.01812083333328</v>
      </c>
      <c r="AA23" s="51">
        <f>Z23*assumptions!$C$11</f>
        <v>27361.721479166663</v>
      </c>
      <c r="AB23">
        <v>3</v>
      </c>
      <c r="AC23">
        <v>12</v>
      </c>
      <c r="AD23" s="58">
        <v>1000</v>
      </c>
      <c r="AE23" s="49">
        <v>3.5</v>
      </c>
      <c r="AF23" s="51">
        <v>11812.5</v>
      </c>
      <c r="AG23" s="51">
        <v>27203</v>
      </c>
      <c r="AH23" s="51">
        <v>90000</v>
      </c>
      <c r="AI23" s="51">
        <v>22500</v>
      </c>
      <c r="AJ23" s="51">
        <v>21094</v>
      </c>
      <c r="AK23" s="51">
        <v>7650</v>
      </c>
      <c r="AL23" s="51">
        <v>20596</v>
      </c>
      <c r="AM23" s="50">
        <f t="shared" si="13"/>
        <v>308824.02047916665</v>
      </c>
      <c r="AN23" s="51">
        <v>255000</v>
      </c>
      <c r="AO23" s="51">
        <v>70000</v>
      </c>
      <c r="AP23" s="51">
        <f t="shared" si="8"/>
        <v>325000</v>
      </c>
      <c r="AQ23" s="5">
        <f t="shared" si="14"/>
        <v>5.2379278968439635E-2</v>
      </c>
    </row>
    <row r="24" spans="1:43" x14ac:dyDescent="0.3">
      <c r="B24" s="61" t="s">
        <v>64</v>
      </c>
      <c r="C24" s="24" t="s">
        <v>62</v>
      </c>
      <c r="D24" s="24" t="s">
        <v>46</v>
      </c>
      <c r="E24" s="25">
        <f>52*2</f>
        <v>104</v>
      </c>
      <c r="F24" s="24">
        <f t="shared" si="0"/>
        <v>52</v>
      </c>
      <c r="G24" s="24">
        <f t="shared" si="1"/>
        <v>104</v>
      </c>
      <c r="H24" s="24">
        <f>_xlfn.XLOOKUP(B24,'[1]Baseline 2025'!$B:$B,'[1]Baseline 2025'!$C:$C)</f>
        <v>8886</v>
      </c>
      <c r="I24" s="24">
        <f t="shared" si="2"/>
        <v>924144</v>
      </c>
      <c r="J24" s="24" t="str">
        <f>_xlfn.XLOOKUP(B24,'[1]Baseline 2025'!$B:$B,'[1]Baseline 2025'!$E:$E)</f>
        <v>Long Haul</v>
      </c>
      <c r="K24" s="24">
        <f>_xlfn.XLOOKUP(B24,'[1]Baseline 2025'!$B:$B,'[1]Baseline 2025'!$I:$I)/100</f>
        <v>68571.484799999991</v>
      </c>
      <c r="L24" s="28">
        <f t="shared" si="3"/>
        <v>4457146.5120000001</v>
      </c>
      <c r="M24" s="28">
        <f t="shared" si="4"/>
        <v>1.3</v>
      </c>
      <c r="N24" s="107">
        <f t="shared" si="9"/>
        <v>5794.290465600001</v>
      </c>
      <c r="O24" s="28">
        <f t="shared" si="5"/>
        <v>8.9999999999999993E-3</v>
      </c>
      <c r="P24" s="106">
        <f t="shared" si="10"/>
        <v>40.114318608000005</v>
      </c>
      <c r="Q24" s="106">
        <f t="shared" si="11"/>
        <v>2.9999999999999997E-5</v>
      </c>
      <c r="R24" s="106">
        <f t="shared" si="12"/>
        <v>0.13371439535999999</v>
      </c>
      <c r="S24">
        <v>300</v>
      </c>
      <c r="T24">
        <f>G24*S24*assumptions!$D$6</f>
        <v>26520</v>
      </c>
      <c r="U24">
        <v>20</v>
      </c>
      <c r="V24" s="57">
        <v>0.45833333333333331</v>
      </c>
      <c r="W24" s="48">
        <v>65934.12</v>
      </c>
      <c r="X24" s="48">
        <f t="shared" si="6"/>
        <v>42857.178</v>
      </c>
      <c r="Y24" s="51">
        <f>X24*assumptions!$C$8</f>
        <v>77142.920400000003</v>
      </c>
      <c r="Z24" s="20">
        <f t="shared" si="7"/>
        <v>275.64125166666662</v>
      </c>
      <c r="AA24" s="51">
        <f>Z24*assumptions!$C$11</f>
        <v>26185.918908333329</v>
      </c>
      <c r="AB24">
        <v>3</v>
      </c>
      <c r="AC24">
        <v>12</v>
      </c>
      <c r="AD24" s="60">
        <v>963</v>
      </c>
      <c r="AE24" s="49">
        <v>3.5</v>
      </c>
      <c r="AF24" s="51">
        <v>11550</v>
      </c>
      <c r="AG24" s="51">
        <v>26604</v>
      </c>
      <c r="AH24" s="51">
        <v>88000</v>
      </c>
      <c r="AI24" s="51">
        <v>22000</v>
      </c>
      <c r="AJ24" s="51">
        <v>20625</v>
      </c>
      <c r="AK24" s="51">
        <v>7650</v>
      </c>
      <c r="AL24" s="51">
        <v>19990</v>
      </c>
      <c r="AM24" s="50">
        <f t="shared" si="13"/>
        <v>299747.83930833335</v>
      </c>
      <c r="AN24" s="51">
        <v>245565</v>
      </c>
      <c r="AO24" s="51">
        <v>70000</v>
      </c>
      <c r="AP24" s="51">
        <f t="shared" si="8"/>
        <v>315565</v>
      </c>
      <c r="AQ24" s="5">
        <f t="shared" si="14"/>
        <v>5.2768222543871035E-2</v>
      </c>
    </row>
    <row r="25" spans="1:43" x14ac:dyDescent="0.3">
      <c r="B25" s="61" t="s">
        <v>65</v>
      </c>
      <c r="C25" s="24" t="s">
        <v>62</v>
      </c>
      <c r="D25" s="24" t="s">
        <v>46</v>
      </c>
      <c r="E25" s="25">
        <f>156*2</f>
        <v>312</v>
      </c>
      <c r="F25" s="24">
        <f t="shared" si="0"/>
        <v>156</v>
      </c>
      <c r="G25" s="24">
        <f t="shared" si="1"/>
        <v>312</v>
      </c>
      <c r="H25" s="24">
        <f>_xlfn.XLOOKUP(B25,'[1]Baseline 2025'!$B:$B,'[1]Baseline 2025'!$C:$C)</f>
        <v>8818</v>
      </c>
      <c r="I25" s="24">
        <f t="shared" si="2"/>
        <v>2751216</v>
      </c>
      <c r="J25" s="24" t="str">
        <f>_xlfn.XLOOKUP(B25,'[1]Baseline 2025'!$B:$B,'[1]Baseline 2025'!$E:$E)</f>
        <v>Long Haul</v>
      </c>
      <c r="K25" s="24">
        <f>_xlfn.XLOOKUP(B25,'[1]Baseline 2025'!$B:$B,'[1]Baseline 2025'!$I:$I)/100</f>
        <v>204140.22719999999</v>
      </c>
      <c r="L25" s="28">
        <f t="shared" si="3"/>
        <v>13269114.767999999</v>
      </c>
      <c r="M25" s="28">
        <f t="shared" si="4"/>
        <v>1.3</v>
      </c>
      <c r="N25" s="107">
        <f t="shared" si="9"/>
        <v>17249.849198399999</v>
      </c>
      <c r="O25" s="28">
        <f t="shared" si="5"/>
        <v>8.9999999999999993E-3</v>
      </c>
      <c r="P25" s="106">
        <f t="shared" si="10"/>
        <v>119.42203291199998</v>
      </c>
      <c r="Q25" s="106">
        <f t="shared" si="11"/>
        <v>2.9999999999999997E-5</v>
      </c>
      <c r="R25" s="106">
        <f t="shared" si="12"/>
        <v>0.39807344303999992</v>
      </c>
      <c r="S25">
        <v>300</v>
      </c>
      <c r="T25">
        <f>G25*S25*assumptions!$D$6</f>
        <v>79560</v>
      </c>
      <c r="U25">
        <v>20</v>
      </c>
      <c r="V25" s="57">
        <v>0.46527777777777779</v>
      </c>
      <c r="W25" s="48">
        <v>65429.56</v>
      </c>
      <c r="X25" s="48">
        <f t="shared" si="6"/>
        <v>42529.214</v>
      </c>
      <c r="Y25" s="51">
        <f>X25*assumptions!$C$8</f>
        <v>76552.585200000001</v>
      </c>
      <c r="Z25" s="20">
        <f t="shared" si="7"/>
        <v>273.53191055555556</v>
      </c>
      <c r="AA25" s="51">
        <f>Z25*assumptions!$C$11</f>
        <v>25985.531502777776</v>
      </c>
      <c r="AB25">
        <v>3</v>
      </c>
      <c r="AC25">
        <v>12</v>
      </c>
      <c r="AD25" s="58">
        <v>969</v>
      </c>
      <c r="AE25" s="49">
        <v>3.5</v>
      </c>
      <c r="AF25" s="51">
        <v>11728.5</v>
      </c>
      <c r="AG25" s="51">
        <v>26502</v>
      </c>
      <c r="AH25" s="51">
        <v>89360</v>
      </c>
      <c r="AI25" s="51">
        <v>22340</v>
      </c>
      <c r="AJ25" s="51">
        <v>20944</v>
      </c>
      <c r="AK25" s="51">
        <v>7650</v>
      </c>
      <c r="AL25" s="51">
        <v>20084</v>
      </c>
      <c r="AM25" s="50">
        <f t="shared" si="13"/>
        <v>301146.61670277774</v>
      </c>
      <c r="AN25" s="51">
        <v>247095</v>
      </c>
      <c r="AO25" s="51">
        <v>70000</v>
      </c>
      <c r="AP25" s="51">
        <f t="shared" si="8"/>
        <v>317095</v>
      </c>
      <c r="AQ25" s="5">
        <f t="shared" si="14"/>
        <v>5.2958865923314669E-2</v>
      </c>
    </row>
    <row r="26" spans="1:43" x14ac:dyDescent="0.3">
      <c r="B26" s="61" t="s">
        <v>66</v>
      </c>
      <c r="C26" s="24" t="s">
        <v>62</v>
      </c>
      <c r="D26" s="24" t="s">
        <v>46</v>
      </c>
      <c r="E26" s="25">
        <f>156*2</f>
        <v>312</v>
      </c>
      <c r="F26" s="24">
        <f t="shared" si="0"/>
        <v>156</v>
      </c>
      <c r="G26" s="24">
        <f t="shared" si="1"/>
        <v>312</v>
      </c>
      <c r="H26" s="24">
        <f>_xlfn.XLOOKUP(B26,'[1]Baseline 2025'!$B:$B,'[1]Baseline 2025'!$C:$C)</f>
        <v>9220</v>
      </c>
      <c r="I26" s="24">
        <f t="shared" si="2"/>
        <v>2876640</v>
      </c>
      <c r="J26" s="24" t="str">
        <f>_xlfn.XLOOKUP(B26,'[1]Baseline 2025'!$B:$B,'[1]Baseline 2025'!$E:$E)</f>
        <v>Long Haul</v>
      </c>
      <c r="K26" s="24">
        <f>_xlfn.XLOOKUP(B26,'[1]Baseline 2025'!$B:$B,'[1]Baseline 2025'!$I:$I)/100</f>
        <v>213446.68799999997</v>
      </c>
      <c r="L26" s="28">
        <f t="shared" si="3"/>
        <v>13874034.719999999</v>
      </c>
      <c r="M26" s="28">
        <f t="shared" si="4"/>
        <v>1.3</v>
      </c>
      <c r="N26" s="107">
        <f t="shared" si="9"/>
        <v>18036.245136000001</v>
      </c>
      <c r="O26" s="28">
        <f t="shared" si="5"/>
        <v>8.9999999999999993E-3</v>
      </c>
      <c r="P26" s="106">
        <f t="shared" si="10"/>
        <v>124.86631247999998</v>
      </c>
      <c r="Q26" s="106">
        <f t="shared" si="11"/>
        <v>2.9999999999999997E-5</v>
      </c>
      <c r="R26" s="106">
        <f t="shared" si="12"/>
        <v>0.4162210415999999</v>
      </c>
      <c r="S26">
        <v>300</v>
      </c>
      <c r="T26">
        <f>G26*S26*assumptions!$D$6</f>
        <v>79560</v>
      </c>
      <c r="U26">
        <v>20</v>
      </c>
      <c r="V26" s="57">
        <v>0.47916666666666669</v>
      </c>
      <c r="W26" s="48">
        <v>68412.399999999994</v>
      </c>
      <c r="X26" s="48">
        <f t="shared" si="6"/>
        <v>44468.06</v>
      </c>
      <c r="Y26" s="51">
        <f>X26*assumptions!$C$8</f>
        <v>80042.508000000002</v>
      </c>
      <c r="Z26" s="20">
        <f t="shared" si="7"/>
        <v>286.00183888888887</v>
      </c>
      <c r="AA26" s="51">
        <f>Z26*assumptions!$C$11</f>
        <v>27170.174694444442</v>
      </c>
      <c r="AB26">
        <v>3</v>
      </c>
      <c r="AC26">
        <v>12</v>
      </c>
      <c r="AD26" s="58">
        <v>1011</v>
      </c>
      <c r="AE26" s="49">
        <v>3.5</v>
      </c>
      <c r="AF26" s="51">
        <v>12075</v>
      </c>
      <c r="AG26" s="51">
        <v>27105</v>
      </c>
      <c r="AH26" s="51">
        <v>92000</v>
      </c>
      <c r="AI26" s="51">
        <v>23000</v>
      </c>
      <c r="AJ26" s="51">
        <v>21563</v>
      </c>
      <c r="AK26" s="51">
        <v>7650</v>
      </c>
      <c r="AL26" s="51">
        <v>20766</v>
      </c>
      <c r="AM26" s="50">
        <f t="shared" si="13"/>
        <v>311371.68269444449</v>
      </c>
      <c r="AN26" s="51">
        <v>257805</v>
      </c>
      <c r="AO26" s="51">
        <v>70000</v>
      </c>
      <c r="AP26" s="51">
        <f t="shared" si="8"/>
        <v>327805</v>
      </c>
      <c r="AQ26" s="5">
        <f t="shared" si="14"/>
        <v>5.2777173451838522E-2</v>
      </c>
    </row>
    <row r="27" spans="1:43" x14ac:dyDescent="0.3">
      <c r="B27" s="61" t="s">
        <v>67</v>
      </c>
      <c r="C27" s="24" t="s">
        <v>62</v>
      </c>
      <c r="D27" s="24" t="s">
        <v>46</v>
      </c>
      <c r="E27" s="25">
        <f>52*2</f>
        <v>104</v>
      </c>
      <c r="F27" s="24">
        <f t="shared" si="0"/>
        <v>52</v>
      </c>
      <c r="G27" s="24">
        <f t="shared" si="1"/>
        <v>104</v>
      </c>
      <c r="H27" s="24">
        <f>_xlfn.XLOOKUP(B27,'[1]Baseline 2025'!$B:$B,'[1]Baseline 2025'!$C:$C)</f>
        <v>9536</v>
      </c>
      <c r="I27" s="24">
        <f t="shared" si="2"/>
        <v>991744</v>
      </c>
      <c r="J27" s="24" t="str">
        <f>_xlfn.XLOOKUP(B27,'[1]Baseline 2025'!$B:$B,'[1]Baseline 2025'!$E:$E)</f>
        <v>Long Haul</v>
      </c>
      <c r="K27" s="24">
        <f>_xlfn.XLOOKUP(B27,'[1]Baseline 2025'!$B:$B,'[1]Baseline 2025'!$I:$I)/100</f>
        <v>73587.404799999989</v>
      </c>
      <c r="L27" s="28">
        <f t="shared" si="3"/>
        <v>4783181.311999999</v>
      </c>
      <c r="M27" s="28">
        <f t="shared" si="4"/>
        <v>1.3</v>
      </c>
      <c r="N27" s="107">
        <f t="shared" si="9"/>
        <v>6218.1357055999988</v>
      </c>
      <c r="O27" s="28">
        <f t="shared" si="5"/>
        <v>8.9999999999999993E-3</v>
      </c>
      <c r="P27" s="106">
        <f t="shared" si="10"/>
        <v>43.048631807999989</v>
      </c>
      <c r="Q27" s="106">
        <f t="shared" si="11"/>
        <v>2.9999999999999997E-5</v>
      </c>
      <c r="R27" s="106">
        <f t="shared" si="12"/>
        <v>0.14349543935999995</v>
      </c>
      <c r="S27">
        <v>300</v>
      </c>
      <c r="T27">
        <f>G27*S27*assumptions!$D$6</f>
        <v>26520</v>
      </c>
      <c r="U27">
        <v>20</v>
      </c>
      <c r="V27" s="57">
        <v>0.5</v>
      </c>
      <c r="W27" s="48">
        <v>70757.119999999995</v>
      </c>
      <c r="X27" s="48">
        <f t="shared" si="6"/>
        <v>45992.127999999997</v>
      </c>
      <c r="Y27" s="51">
        <f>X27*assumptions!$C$8</f>
        <v>82785.830399999992</v>
      </c>
      <c r="Z27" s="20">
        <f t="shared" si="7"/>
        <v>295.80407111111111</v>
      </c>
      <c r="AA27" s="51">
        <f>Z27*assumptions!$C$11</f>
        <v>28101.386755555555</v>
      </c>
      <c r="AB27">
        <v>3</v>
      </c>
      <c r="AC27">
        <v>12</v>
      </c>
      <c r="AD27" s="58">
        <v>1058</v>
      </c>
      <c r="AE27" s="49">
        <v>3.5</v>
      </c>
      <c r="AF27" s="51">
        <v>12600</v>
      </c>
      <c r="AG27" s="51">
        <v>27579</v>
      </c>
      <c r="AH27" s="51">
        <v>96000</v>
      </c>
      <c r="AI27" s="51">
        <v>24000</v>
      </c>
      <c r="AJ27" s="51">
        <v>22500</v>
      </c>
      <c r="AK27" s="51">
        <v>7650</v>
      </c>
      <c r="AL27" s="51">
        <v>21523</v>
      </c>
      <c r="AM27" s="50">
        <f t="shared" si="13"/>
        <v>322739.21715555555</v>
      </c>
      <c r="AN27" s="51">
        <v>269790</v>
      </c>
      <c r="AO27" s="51">
        <v>70000</v>
      </c>
      <c r="AP27" s="51">
        <f t="shared" si="8"/>
        <v>339790</v>
      </c>
      <c r="AQ27" s="5">
        <f t="shared" si="14"/>
        <v>5.2831456290687528E-2</v>
      </c>
    </row>
    <row r="28" spans="1:43" x14ac:dyDescent="0.3">
      <c r="B28" s="61" t="s">
        <v>68</v>
      </c>
      <c r="C28" s="24" t="s">
        <v>62</v>
      </c>
      <c r="D28" s="24" t="s">
        <v>46</v>
      </c>
      <c r="E28" s="25">
        <f>156*2</f>
        <v>312</v>
      </c>
      <c r="F28" s="24">
        <f t="shared" si="0"/>
        <v>156</v>
      </c>
      <c r="G28" s="24">
        <f t="shared" si="1"/>
        <v>312</v>
      </c>
      <c r="H28" s="24">
        <f>_xlfn.XLOOKUP(B28,'[1]Baseline 2025'!$B:$B,'[1]Baseline 2025'!$C:$C)</f>
        <v>9652</v>
      </c>
      <c r="I28" s="24">
        <f t="shared" si="2"/>
        <v>3011424</v>
      </c>
      <c r="J28" s="24" t="str">
        <f>_xlfn.XLOOKUP(B28,'[1]Baseline 2025'!$B:$B,'[1]Baseline 2025'!$E:$E)</f>
        <v>Long Haul</v>
      </c>
      <c r="K28" s="24">
        <f>_xlfn.XLOOKUP(B28,'[1]Baseline 2025'!$B:$B,'[1]Baseline 2025'!$I:$I)/100</f>
        <v>223447.66079999998</v>
      </c>
      <c r="L28" s="28">
        <f t="shared" si="3"/>
        <v>14524097.952</v>
      </c>
      <c r="M28" s="28">
        <f t="shared" si="4"/>
        <v>1.3</v>
      </c>
      <c r="N28" s="107">
        <f t="shared" si="9"/>
        <v>18881.3273376</v>
      </c>
      <c r="O28" s="28">
        <f t="shared" si="5"/>
        <v>8.9999999999999993E-3</v>
      </c>
      <c r="P28" s="106">
        <f t="shared" si="10"/>
        <v>130.71688156799999</v>
      </c>
      <c r="Q28" s="106">
        <f t="shared" si="11"/>
        <v>2.9999999999999997E-5</v>
      </c>
      <c r="R28" s="106">
        <f t="shared" si="12"/>
        <v>0.43572293855999994</v>
      </c>
      <c r="S28">
        <v>300</v>
      </c>
      <c r="T28">
        <f>G28*S28*assumptions!$D$6</f>
        <v>79560</v>
      </c>
      <c r="U28">
        <v>20</v>
      </c>
      <c r="V28" s="57">
        <v>0.47222222222222221</v>
      </c>
      <c r="W28" s="48">
        <v>71617.84</v>
      </c>
      <c r="X28" s="48">
        <f t="shared" si="6"/>
        <v>46551.595999999998</v>
      </c>
      <c r="Y28" s="51">
        <f>X28*assumptions!$C$8</f>
        <v>83792.872799999997</v>
      </c>
      <c r="Z28" s="20">
        <f t="shared" si="7"/>
        <v>299.40235888888884</v>
      </c>
      <c r="AA28" s="51">
        <f>Z28*assumptions!$C$11</f>
        <v>28443.224094444438</v>
      </c>
      <c r="AB28">
        <v>3</v>
      </c>
      <c r="AC28">
        <v>12</v>
      </c>
      <c r="AD28" s="58">
        <v>1026</v>
      </c>
      <c r="AE28" s="49">
        <v>3.5</v>
      </c>
      <c r="AF28" s="51">
        <v>11896.5</v>
      </c>
      <c r="AG28" s="51">
        <v>27753</v>
      </c>
      <c r="AH28" s="51">
        <v>90640</v>
      </c>
      <c r="AI28" s="51">
        <v>22660</v>
      </c>
      <c r="AJ28" s="51">
        <v>21244</v>
      </c>
      <c r="AK28" s="51">
        <v>7650</v>
      </c>
      <c r="AL28" s="51">
        <v>21011</v>
      </c>
      <c r="AM28" s="50">
        <f>Y28+AF28+AG28+AH28+AI28+AJ28+AK28+AL28+AA28</f>
        <v>315090.59689444443</v>
      </c>
      <c r="AN28" s="51">
        <v>261630</v>
      </c>
      <c r="AO28" s="51">
        <v>70000</v>
      </c>
      <c r="AP28" s="51">
        <f t="shared" si="8"/>
        <v>331630</v>
      </c>
      <c r="AQ28" s="5">
        <f t="shared" si="14"/>
        <v>5.2490944726910627E-2</v>
      </c>
    </row>
    <row r="29" spans="1:43" x14ac:dyDescent="0.3">
      <c r="N29" s="26">
        <f>SUM(N7:N28)</f>
        <v>138904.45059399999</v>
      </c>
      <c r="O29" s="26"/>
      <c r="P29" s="108">
        <f>SUM(P7:P28)</f>
        <v>961.6461964199998</v>
      </c>
      <c r="Q29" s="108"/>
      <c r="R29" s="108">
        <f>SUM(R7:R28)</f>
        <v>3.2054873214000001</v>
      </c>
    </row>
    <row r="32" spans="1:43" x14ac:dyDescent="0.3">
      <c r="A32" t="s">
        <v>69</v>
      </c>
      <c r="D32" t="s">
        <v>88</v>
      </c>
      <c r="G32" t="s">
        <v>70</v>
      </c>
      <c r="I32" t="s">
        <v>71</v>
      </c>
    </row>
    <row r="33" spans="1:9" x14ac:dyDescent="0.3">
      <c r="A33">
        <f>(E7*X7)/1000</f>
        <v>2801.2067720000005</v>
      </c>
      <c r="D33">
        <f>E7*Z7</f>
        <v>18016.308512222218</v>
      </c>
      <c r="G33" s="89">
        <f>E7*AM7</f>
        <v>37621649.498261116</v>
      </c>
      <c r="I33" s="51">
        <f>E7*AP7</f>
        <v>39530400</v>
      </c>
    </row>
    <row r="34" spans="1:9" x14ac:dyDescent="0.3">
      <c r="A34">
        <f t="shared" ref="A34:A53" si="16">(E8*X8)/1000</f>
        <v>2005.8238200000003</v>
      </c>
      <c r="D34">
        <f t="shared" ref="D34:D54" si="17">E8*Z8</f>
        <v>12900.704483333333</v>
      </c>
      <c r="G34" s="89">
        <f t="shared" ref="G34:G54" si="18">E8*AM8</f>
        <v>29251713.801916666</v>
      </c>
      <c r="I34" s="51">
        <f t="shared" ref="I34:I54" si="19">E8*AP8</f>
        <v>31056698.400000002</v>
      </c>
    </row>
    <row r="35" spans="1:9" x14ac:dyDescent="0.3">
      <c r="A35">
        <f t="shared" si="16"/>
        <v>2155.1752040000006</v>
      </c>
      <c r="D35">
        <f t="shared" si="17"/>
        <v>13861.276418888889</v>
      </c>
      <c r="G35" s="89">
        <f t="shared" si="18"/>
        <v>32588228.626994446</v>
      </c>
      <c r="I35" s="51">
        <f t="shared" si="19"/>
        <v>34679008</v>
      </c>
    </row>
    <row r="36" spans="1:9" x14ac:dyDescent="0.3">
      <c r="A36">
        <f t="shared" si="16"/>
        <v>274.38975200000004</v>
      </c>
      <c r="D36">
        <f t="shared" si="17"/>
        <v>1764.7716955555554</v>
      </c>
      <c r="G36" s="89">
        <f t="shared" si="18"/>
        <v>12036554.864677779</v>
      </c>
      <c r="I36" s="51">
        <f t="shared" si="19"/>
        <v>30650620</v>
      </c>
    </row>
    <row r="37" spans="1:9" x14ac:dyDescent="0.3">
      <c r="A37">
        <f t="shared" si="16"/>
        <v>974.25728400000003</v>
      </c>
      <c r="D37">
        <f t="shared" si="17"/>
        <v>6266.0564633333324</v>
      </c>
      <c r="G37" s="89">
        <f t="shared" si="18"/>
        <v>20103766.475216668</v>
      </c>
      <c r="I37" s="51">
        <f t="shared" si="19"/>
        <v>31238480</v>
      </c>
    </row>
    <row r="38" spans="1:9" x14ac:dyDescent="0.3">
      <c r="A38">
        <f t="shared" si="16"/>
        <v>346.46047800000002</v>
      </c>
      <c r="D38">
        <f t="shared" si="17"/>
        <v>2228.3035016666668</v>
      </c>
      <c r="G38" s="89">
        <f t="shared" si="18"/>
        <v>9593339.6930583324</v>
      </c>
      <c r="I38" s="51">
        <f t="shared" si="19"/>
        <v>15433600</v>
      </c>
    </row>
    <row r="39" spans="1:9" x14ac:dyDescent="0.3">
      <c r="A39">
        <f t="shared" si="16"/>
        <v>653.84646599999985</v>
      </c>
      <c r="D39">
        <f t="shared" si="17"/>
        <v>4205.2945783333325</v>
      </c>
      <c r="G39" s="89">
        <f t="shared" si="18"/>
        <v>12020314.623741668</v>
      </c>
      <c r="I39" s="51">
        <f t="shared" si="19"/>
        <v>15804880</v>
      </c>
    </row>
    <row r="40" spans="1:9" x14ac:dyDescent="0.3">
      <c r="A40">
        <f t="shared" si="16"/>
        <v>1710.5943399999999</v>
      </c>
      <c r="D40">
        <f t="shared" si="17"/>
        <v>11001.899494444442</v>
      </c>
      <c r="G40" s="89">
        <f t="shared" si="18"/>
        <v>21249722.263972223</v>
      </c>
      <c r="I40" s="51">
        <f t="shared" si="19"/>
        <v>22395100</v>
      </c>
    </row>
    <row r="41" spans="1:9" x14ac:dyDescent="0.3">
      <c r="A41">
        <f t="shared" si="16"/>
        <v>1604.6590560000002</v>
      </c>
      <c r="D41">
        <f t="shared" si="17"/>
        <v>10320.563586666665</v>
      </c>
      <c r="G41" s="89">
        <f t="shared" si="18"/>
        <v>21624759.841533333</v>
      </c>
      <c r="I41" s="51">
        <f t="shared" si="19"/>
        <v>22766380</v>
      </c>
    </row>
    <row r="42" spans="1:9" x14ac:dyDescent="0.3">
      <c r="A42">
        <f t="shared" si="16"/>
        <v>577.43412999999987</v>
      </c>
      <c r="D42">
        <f t="shared" si="17"/>
        <v>3713.839169444444</v>
      </c>
      <c r="G42" s="89">
        <f t="shared" si="18"/>
        <v>10734984.155097224</v>
      </c>
      <c r="I42" s="51">
        <f t="shared" si="19"/>
        <v>15756923</v>
      </c>
    </row>
    <row r="43" spans="1:9" x14ac:dyDescent="0.3">
      <c r="A43">
        <f t="shared" si="16"/>
        <v>834.4574419999999</v>
      </c>
      <c r="D43">
        <f t="shared" si="17"/>
        <v>5366.9164538888881</v>
      </c>
      <c r="G43" s="89">
        <f t="shared" si="18"/>
        <v>12997218.458719447</v>
      </c>
      <c r="I43" s="51">
        <f t="shared" si="19"/>
        <v>15897700</v>
      </c>
    </row>
    <row r="44" spans="1:9" x14ac:dyDescent="0.3">
      <c r="A44">
        <f t="shared" si="16"/>
        <v>1238.2271720000001</v>
      </c>
      <c r="D44">
        <f t="shared" si="17"/>
        <v>7963.8115122222207</v>
      </c>
      <c r="G44" s="89">
        <f t="shared" si="18"/>
        <v>17206123.003261112</v>
      </c>
      <c r="I44" s="51">
        <f t="shared" si="19"/>
        <v>18125380</v>
      </c>
    </row>
    <row r="45" spans="1:9" x14ac:dyDescent="0.3">
      <c r="A45">
        <f t="shared" si="16"/>
        <v>835.32576400000005</v>
      </c>
      <c r="D45">
        <f t="shared" si="17"/>
        <v>5372.5011744444437</v>
      </c>
      <c r="G45" s="89">
        <f t="shared" si="18"/>
        <v>13000039.986772224</v>
      </c>
      <c r="I45" s="51">
        <f t="shared" si="19"/>
        <v>15990520</v>
      </c>
    </row>
    <row r="46" spans="1:9" x14ac:dyDescent="0.3">
      <c r="A46">
        <f t="shared" si="16"/>
        <v>959.49580999999989</v>
      </c>
      <c r="D46">
        <f t="shared" si="17"/>
        <v>6171.1162138888885</v>
      </c>
      <c r="G46" s="89">
        <f t="shared" si="18"/>
        <v>14162094.498319445</v>
      </c>
      <c r="I46" s="51">
        <f t="shared" si="19"/>
        <v>16183895</v>
      </c>
    </row>
    <row r="47" spans="1:9" x14ac:dyDescent="0.3">
      <c r="A47">
        <f t="shared" si="16"/>
        <v>2094.392664</v>
      </c>
      <c r="D47">
        <f t="shared" si="17"/>
        <v>13470.34598</v>
      </c>
      <c r="G47" s="89">
        <f t="shared" si="18"/>
        <v>42064749.663300008</v>
      </c>
      <c r="I47" s="51">
        <f t="shared" si="19"/>
        <v>62353200</v>
      </c>
    </row>
    <row r="48" spans="1:9" x14ac:dyDescent="0.3">
      <c r="A48">
        <f t="shared" si="16"/>
        <v>13869.520392</v>
      </c>
      <c r="D48">
        <f t="shared" si="17"/>
        <v>89203.539273333328</v>
      </c>
      <c r="G48" s="89">
        <f t="shared" si="18"/>
        <v>96054596.936566681</v>
      </c>
      <c r="I48" s="51">
        <f t="shared" si="19"/>
        <v>101161320</v>
      </c>
    </row>
    <row r="49" spans="1:9" x14ac:dyDescent="0.3">
      <c r="A49">
        <f>(E23*X23)/1000</f>
        <v>13971.845160000001</v>
      </c>
      <c r="D49">
        <f t="shared" si="17"/>
        <v>89861.653699999981</v>
      </c>
      <c r="G49" s="89">
        <f t="shared" si="18"/>
        <v>96353094.389499992</v>
      </c>
      <c r="I49" s="51">
        <f t="shared" si="19"/>
        <v>101400000</v>
      </c>
    </row>
    <row r="50" spans="1:9" x14ac:dyDescent="0.3">
      <c r="A50">
        <f t="shared" si="16"/>
        <v>4457.1465120000003</v>
      </c>
      <c r="D50">
        <f t="shared" si="17"/>
        <v>28666.690173333329</v>
      </c>
      <c r="G50" s="89">
        <f t="shared" si="18"/>
        <v>31173775.28806667</v>
      </c>
      <c r="I50" s="51">
        <f t="shared" si="19"/>
        <v>32818760</v>
      </c>
    </row>
    <row r="51" spans="1:9" x14ac:dyDescent="0.3">
      <c r="A51">
        <f t="shared" si="16"/>
        <v>13269.114767999999</v>
      </c>
      <c r="D51">
        <f t="shared" si="17"/>
        <v>85341.956093333327</v>
      </c>
      <c r="G51" s="89">
        <f t="shared" si="18"/>
        <v>93957744.411266655</v>
      </c>
      <c r="I51" s="51">
        <f t="shared" si="19"/>
        <v>98933640</v>
      </c>
    </row>
    <row r="52" spans="1:9" x14ac:dyDescent="0.3">
      <c r="A52">
        <f t="shared" si="16"/>
        <v>13874.03472</v>
      </c>
      <c r="D52">
        <f t="shared" si="17"/>
        <v>89232.573733333324</v>
      </c>
      <c r="G52" s="89">
        <f t="shared" si="18"/>
        <v>97147965.000666678</v>
      </c>
      <c r="I52" s="51">
        <f t="shared" si="19"/>
        <v>102275160</v>
      </c>
    </row>
    <row r="53" spans="1:9" x14ac:dyDescent="0.3">
      <c r="A53">
        <f t="shared" si="16"/>
        <v>4783.1813119999997</v>
      </c>
      <c r="D53">
        <f t="shared" si="17"/>
        <v>30763.623395555554</v>
      </c>
      <c r="G53" s="89">
        <f t="shared" si="18"/>
        <v>33564878.584177777</v>
      </c>
      <c r="I53" s="51">
        <f t="shared" si="19"/>
        <v>35338160</v>
      </c>
    </row>
    <row r="54" spans="1:9" x14ac:dyDescent="0.3">
      <c r="A54">
        <f>(E28*X28)/1000</f>
        <v>14524.097952</v>
      </c>
      <c r="D54">
        <f t="shared" si="17"/>
        <v>93413.535973333317</v>
      </c>
      <c r="G54" s="89">
        <f t="shared" si="18"/>
        <v>98308266.231066659</v>
      </c>
      <c r="I54" s="51">
        <f t="shared" si="19"/>
        <v>103468560</v>
      </c>
    </row>
    <row r="56" spans="1:9" x14ac:dyDescent="0.3">
      <c r="A56" t="s">
        <v>72</v>
      </c>
      <c r="D56" t="s">
        <v>72</v>
      </c>
      <c r="G56" t="s">
        <v>72</v>
      </c>
      <c r="I56" t="s">
        <v>72</v>
      </c>
    </row>
    <row r="57" spans="1:9" x14ac:dyDescent="0.3">
      <c r="A57">
        <f>SUM(A33:A54)</f>
        <v>97814.686969999995</v>
      </c>
      <c r="D57">
        <f>SUM(D33:D54)</f>
        <v>629107.28158055549</v>
      </c>
      <c r="G57" s="89">
        <f>SUM(G33:G54)</f>
        <v>852815580.29615283</v>
      </c>
      <c r="I57" s="51">
        <f>SUM(I33:I54)</f>
        <v>963258384.39999998</v>
      </c>
    </row>
  </sheetData>
  <mergeCells count="1">
    <mergeCell ref="A4:N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C91D-69B1-407D-A348-D87456AFFFD6}">
  <sheetPr>
    <tabColor theme="7"/>
  </sheetPr>
  <dimension ref="A4:BL57"/>
  <sheetViews>
    <sheetView topLeftCell="A5" zoomScale="70" zoomScaleNormal="80" workbookViewId="0">
      <selection activeCell="Q7" sqref="Q7"/>
    </sheetView>
  </sheetViews>
  <sheetFormatPr defaultRowHeight="14.4" x14ac:dyDescent="0.3"/>
  <cols>
    <col min="12" max="12" width="11" bestFit="1" customWidth="1"/>
    <col min="13" max="14" width="9" bestFit="1" customWidth="1"/>
    <col min="15" max="18" width="9" customWidth="1"/>
    <col min="19" max="19" width="9" bestFit="1" customWidth="1"/>
    <col min="20" max="20" width="9" customWidth="1"/>
    <col min="21" max="22" width="9" bestFit="1" customWidth="1"/>
    <col min="23" max="24" width="7.88671875" bestFit="1" customWidth="1"/>
    <col min="25" max="25" width="15.109375" bestFit="1" customWidth="1"/>
    <col min="26" max="27" width="15.109375" customWidth="1"/>
    <col min="28" max="29" width="12.5546875" bestFit="1" customWidth="1"/>
    <col min="30" max="30" width="10.44140625" bestFit="1" customWidth="1"/>
    <col min="31" max="31" width="9" bestFit="1" customWidth="1"/>
    <col min="32" max="32" width="11.33203125" bestFit="1" customWidth="1"/>
    <col min="33" max="34" width="14.109375" bestFit="1" customWidth="1"/>
    <col min="35" max="35" width="15.109375" bestFit="1" customWidth="1"/>
    <col min="36" max="36" width="14.109375" bestFit="1" customWidth="1"/>
    <col min="37" max="37" width="11.44140625" bestFit="1" customWidth="1"/>
    <col min="38" max="38" width="14.109375" bestFit="1" customWidth="1"/>
    <col min="39" max="39" width="12.109375" bestFit="1" customWidth="1"/>
    <col min="40" max="40" width="13.88671875" style="34" bestFit="1" customWidth="1"/>
    <col min="41" max="41" width="12.109375" bestFit="1" customWidth="1"/>
    <col min="42" max="42" width="12.44140625" bestFit="1" customWidth="1"/>
    <col min="43" max="43" width="10.5546875" style="34" bestFit="1" customWidth="1"/>
  </cols>
  <sheetData>
    <row r="4" spans="1:64" ht="26.7" customHeight="1" x14ac:dyDescent="0.5">
      <c r="A4" s="112" t="s">
        <v>81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101"/>
      <c r="AO4" s="62"/>
      <c r="AP4" s="62"/>
      <c r="AQ4" s="101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</row>
    <row r="5" spans="1:64" ht="25.8" x14ac:dyDescent="0.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44"/>
      <c r="T5" s="44"/>
      <c r="U5" s="44"/>
      <c r="V5" s="44"/>
      <c r="W5" s="44"/>
      <c r="X5" s="44"/>
      <c r="Y5" s="44"/>
      <c r="Z5" s="44"/>
      <c r="AA5" s="44"/>
      <c r="AB5" s="38" t="s">
        <v>1</v>
      </c>
      <c r="AC5" s="22"/>
      <c r="AD5" s="45"/>
      <c r="AE5" s="45"/>
      <c r="AF5" s="45"/>
      <c r="AG5" s="36"/>
      <c r="AH5" s="36"/>
      <c r="AI5" s="36"/>
      <c r="AJ5" s="37" t="s">
        <v>2</v>
      </c>
      <c r="AK5" s="36"/>
      <c r="AL5" s="36"/>
      <c r="AM5" s="36"/>
      <c r="AO5" s="39"/>
      <c r="AP5" s="40" t="s">
        <v>3</v>
      </c>
    </row>
    <row r="6" spans="1:64" ht="169.8" x14ac:dyDescent="0.3">
      <c r="B6" s="21" t="s">
        <v>4</v>
      </c>
      <c r="C6" s="21" t="s">
        <v>5</v>
      </c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1" t="s">
        <v>18</v>
      </c>
      <c r="Q6" s="21" t="s">
        <v>19</v>
      </c>
      <c r="R6" s="21" t="s">
        <v>20</v>
      </c>
      <c r="S6" s="30" t="s">
        <v>21</v>
      </c>
      <c r="T6" s="30" t="s">
        <v>22</v>
      </c>
      <c r="U6" s="30" t="s">
        <v>23</v>
      </c>
      <c r="V6" s="30" t="s">
        <v>24</v>
      </c>
      <c r="W6" s="30" t="s">
        <v>83</v>
      </c>
      <c r="X6" s="30" t="s">
        <v>84</v>
      </c>
      <c r="Y6" s="30" t="s">
        <v>85</v>
      </c>
      <c r="Z6" s="30" t="s">
        <v>86</v>
      </c>
      <c r="AA6" s="30" t="s">
        <v>87</v>
      </c>
      <c r="AB6" s="32" t="s">
        <v>31</v>
      </c>
      <c r="AC6" s="32" t="s">
        <v>32</v>
      </c>
      <c r="AD6" s="33" t="s">
        <v>30</v>
      </c>
      <c r="AE6" s="33" t="s">
        <v>33</v>
      </c>
      <c r="AF6" s="33" t="s">
        <v>73</v>
      </c>
      <c r="AG6" s="31" t="s">
        <v>1</v>
      </c>
      <c r="AH6" s="31" t="s">
        <v>34</v>
      </c>
      <c r="AI6" s="31" t="s">
        <v>35</v>
      </c>
      <c r="AJ6" s="31" t="s">
        <v>36</v>
      </c>
      <c r="AK6" s="31" t="s">
        <v>37</v>
      </c>
      <c r="AL6" s="31" t="s">
        <v>38</v>
      </c>
      <c r="AM6" s="31" t="s">
        <v>39</v>
      </c>
      <c r="AN6" s="103" t="s">
        <v>40</v>
      </c>
      <c r="AO6" s="31" t="s">
        <v>77</v>
      </c>
      <c r="AP6" s="31" t="s">
        <v>78</v>
      </c>
      <c r="AQ6" s="103" t="s">
        <v>79</v>
      </c>
      <c r="AR6" s="31"/>
    </row>
    <row r="7" spans="1:64" x14ac:dyDescent="0.3">
      <c r="B7" s="27" t="s">
        <v>44</v>
      </c>
      <c r="C7" s="28" t="s">
        <v>45</v>
      </c>
      <c r="D7" s="28" t="s">
        <v>46</v>
      </c>
      <c r="E7" s="29">
        <f>7*52*2</f>
        <v>728</v>
      </c>
      <c r="F7" s="28">
        <f t="shared" ref="F7:F28" si="0">E7/2</f>
        <v>364</v>
      </c>
      <c r="G7" s="28">
        <f t="shared" ref="G7:G28" si="1">E7</f>
        <v>728</v>
      </c>
      <c r="H7" s="28">
        <f>_xlfn.XLOOKUP(B7,'[1]Baseline 2025'!$B:$B,'[1]Baseline 2025'!$C:$C)</f>
        <v>1613</v>
      </c>
      <c r="I7" s="28">
        <f t="shared" ref="I7:I28" si="2">E7*H7</f>
        <v>1174264</v>
      </c>
      <c r="J7" s="28" t="str">
        <f>_xlfn.XLOOKUP(B7,'[1]Baseline 2025'!$B:$B,'[1]Baseline 2025'!$E:$E)</f>
        <v>Short Haul</v>
      </c>
      <c r="K7" s="28">
        <f>_xlfn.XLOOKUP(B7,'[1]Baseline 2025'!$B:$B,'[1]Baseline 2025'!$I:$I)/100</f>
        <v>43095.488799999999</v>
      </c>
      <c r="L7" s="28">
        <f>(K7*100)*0.65</f>
        <v>2801206.7719999999</v>
      </c>
      <c r="M7" s="28">
        <f t="shared" ref="M7:M28" si="3">1.3</f>
        <v>1.3</v>
      </c>
      <c r="N7" s="28">
        <f t="shared" ref="N7:N28" si="4">(L7*M7)/1000</f>
        <v>3641.5688035999997</v>
      </c>
      <c r="O7" s="28">
        <f t="shared" ref="O7:O28" si="5">9/1000</f>
        <v>8.9999999999999993E-3</v>
      </c>
      <c r="P7" s="106">
        <f>(O7*L7)/1000</f>
        <v>25.210860947999997</v>
      </c>
      <c r="Q7" s="106">
        <f>0.03/1000</f>
        <v>2.9999999999999997E-5</v>
      </c>
      <c r="R7" s="106">
        <f>(Q7*L7)/1000</f>
        <v>8.4036203159999989E-2</v>
      </c>
      <c r="S7">
        <v>100</v>
      </c>
      <c r="T7">
        <f>G7*S7*assumptions!$D$6</f>
        <v>61880</v>
      </c>
      <c r="U7">
        <v>10.9</v>
      </c>
      <c r="V7" s="57">
        <v>0.1111111111111111</v>
      </c>
      <c r="W7" s="48">
        <v>5919.71</v>
      </c>
      <c r="X7" s="48">
        <f t="shared" ref="X7:X28" si="6">W7*0.65</f>
        <v>3847.8115000000003</v>
      </c>
      <c r="Y7" s="51">
        <f>X7*assumptions!$D$8</f>
        <v>5002.1549500000001</v>
      </c>
      <c r="Z7" s="20">
        <f t="shared" ref="Z7:Z28" si="7">(W7*0.35)*43/3600</f>
        <v>24.747676527777774</v>
      </c>
      <c r="AA7" s="51">
        <f>Z7*assumptions!$C$11</f>
        <v>2351.0292701388885</v>
      </c>
      <c r="AB7">
        <v>2</v>
      </c>
      <c r="AC7">
        <v>3</v>
      </c>
      <c r="AD7" s="58">
        <v>190</v>
      </c>
      <c r="AE7" s="49">
        <v>3.5</v>
      </c>
      <c r="AF7" s="51">
        <v>1208</v>
      </c>
      <c r="AG7" s="51">
        <v>1202</v>
      </c>
      <c r="AH7" s="51">
        <v>6845</v>
      </c>
      <c r="AI7" s="51">
        <v>21360</v>
      </c>
      <c r="AJ7" s="51">
        <v>5340</v>
      </c>
      <c r="AK7" s="51">
        <v>1669</v>
      </c>
      <c r="AL7" s="51">
        <v>2550</v>
      </c>
      <c r="AM7" s="51">
        <v>3447</v>
      </c>
      <c r="AN7" s="104">
        <f t="shared" ref="AN7:AN28" si="8">Y7+AG7+AH7+AI7+AJ7+AK7+AL7+AM7+AA7+AF7</f>
        <v>50974.184220138886</v>
      </c>
      <c r="AO7" s="51">
        <v>16150</v>
      </c>
      <c r="AP7" s="51">
        <v>38150</v>
      </c>
      <c r="AQ7" s="58">
        <f t="shared" ref="AQ7:AQ28" si="9">AO7+AP7</f>
        <v>54300</v>
      </c>
      <c r="AR7" s="5"/>
    </row>
    <row r="8" spans="1:64" x14ac:dyDescent="0.3">
      <c r="B8" s="27" t="s">
        <v>47</v>
      </c>
      <c r="C8" s="28" t="s">
        <v>45</v>
      </c>
      <c r="D8" s="28" t="s">
        <v>46</v>
      </c>
      <c r="E8" s="29">
        <f>7*52*2</f>
        <v>728</v>
      </c>
      <c r="F8" s="28">
        <f t="shared" si="0"/>
        <v>364</v>
      </c>
      <c r="G8" s="28">
        <f t="shared" si="1"/>
        <v>728</v>
      </c>
      <c r="H8" s="28">
        <f>_xlfn.XLOOKUP(B8,'[1]Baseline 2025'!$B:$B,'[1]Baseline 2025'!$C:$C)</f>
        <v>1155</v>
      </c>
      <c r="I8" s="28">
        <f t="shared" si="2"/>
        <v>840840</v>
      </c>
      <c r="J8" s="28" t="str">
        <f>_xlfn.XLOOKUP(B8,'[1]Baseline 2025'!$B:$B,'[1]Baseline 2025'!$E:$E)</f>
        <v>Short Haul</v>
      </c>
      <c r="K8" s="28">
        <f>_xlfn.XLOOKUP(B8,'[1]Baseline 2025'!$B:$B,'[1]Baseline 2025'!$I:$I)/100</f>
        <v>30858.828000000001</v>
      </c>
      <c r="L8" s="28">
        <f t="shared" ref="L8:L28" si="10">(K8*100)*0.65</f>
        <v>2005823.8200000003</v>
      </c>
      <c r="M8" s="28">
        <f t="shared" si="3"/>
        <v>1.3</v>
      </c>
      <c r="N8" s="28">
        <f t="shared" si="4"/>
        <v>2607.5709660000007</v>
      </c>
      <c r="O8" s="28">
        <f t="shared" si="5"/>
        <v>8.9999999999999993E-3</v>
      </c>
      <c r="P8" s="106">
        <f t="shared" ref="P8:P28" si="11">(O8*L8)/1000</f>
        <v>18.052414380000002</v>
      </c>
      <c r="Q8" s="106">
        <f t="shared" ref="Q8:Q28" si="12">0.03/1000</f>
        <v>2.9999999999999997E-5</v>
      </c>
      <c r="R8" s="106">
        <f t="shared" ref="R8:R28" si="13">(Q8*L8)/1000</f>
        <v>6.0174714599999998E-2</v>
      </c>
      <c r="S8">
        <v>100</v>
      </c>
      <c r="T8">
        <f>G8*S8*assumptions!$D$6</f>
        <v>61880</v>
      </c>
      <c r="U8">
        <v>10.9</v>
      </c>
      <c r="V8" s="57">
        <v>8.3333333333333329E-2</v>
      </c>
      <c r="W8" s="48">
        <v>4238.8500000000004</v>
      </c>
      <c r="X8" s="48">
        <f t="shared" si="6"/>
        <v>2755.2525000000005</v>
      </c>
      <c r="Y8" s="51">
        <f>X8*assumptions!$D$8</f>
        <v>3581.8282500000009</v>
      </c>
      <c r="Z8" s="20">
        <f t="shared" si="7"/>
        <v>17.720747916666667</v>
      </c>
      <c r="AA8" s="51">
        <f>Z8*assumptions!$C$11</f>
        <v>1683.4710520833335</v>
      </c>
      <c r="AB8">
        <v>2</v>
      </c>
      <c r="AC8">
        <v>3</v>
      </c>
      <c r="AD8" s="58">
        <v>117</v>
      </c>
      <c r="AE8" s="49">
        <v>3</v>
      </c>
      <c r="AF8" s="51">
        <v>865</v>
      </c>
      <c r="AG8" s="51">
        <v>900</v>
      </c>
      <c r="AH8" s="51">
        <v>6158</v>
      </c>
      <c r="AI8" s="51">
        <v>16000</v>
      </c>
      <c r="AJ8" s="51">
        <v>4000</v>
      </c>
      <c r="AK8" s="51">
        <v>1250</v>
      </c>
      <c r="AL8" s="51">
        <v>2550</v>
      </c>
      <c r="AM8" s="51">
        <v>2680</v>
      </c>
      <c r="AN8" s="104">
        <f t="shared" si="8"/>
        <v>39668.299302083331</v>
      </c>
      <c r="AO8" s="51">
        <v>9960.2999999999993</v>
      </c>
      <c r="AP8" s="51">
        <v>32700</v>
      </c>
      <c r="AQ8" s="58">
        <f t="shared" si="9"/>
        <v>42660.3</v>
      </c>
      <c r="AR8" s="5"/>
    </row>
    <row r="9" spans="1:64" x14ac:dyDescent="0.3">
      <c r="B9" s="27" t="s">
        <v>48</v>
      </c>
      <c r="C9" s="28" t="s">
        <v>45</v>
      </c>
      <c r="D9" s="28" t="s">
        <v>46</v>
      </c>
      <c r="E9" s="29">
        <f>7*52*2</f>
        <v>728</v>
      </c>
      <c r="F9" s="28">
        <f t="shared" si="0"/>
        <v>364</v>
      </c>
      <c r="G9" s="28">
        <f t="shared" si="1"/>
        <v>728</v>
      </c>
      <c r="H9" s="28">
        <f>_xlfn.XLOOKUP(B9,'[1]Baseline 2025'!$B:$B,'[1]Baseline 2025'!$C:$C)</f>
        <v>1241</v>
      </c>
      <c r="I9" s="28">
        <f t="shared" si="2"/>
        <v>903448</v>
      </c>
      <c r="J9" s="28" t="str">
        <f>_xlfn.XLOOKUP(B9,'[1]Baseline 2025'!$B:$B,'[1]Baseline 2025'!$E:$E)</f>
        <v>Short Haul</v>
      </c>
      <c r="K9" s="28">
        <f>_xlfn.XLOOKUP(B9,'[1]Baseline 2025'!$B:$B,'[1]Baseline 2025'!$I:$I)/100</f>
        <v>33156.541600000004</v>
      </c>
      <c r="L9" s="28">
        <f t="shared" si="10"/>
        <v>2155175.2040000004</v>
      </c>
      <c r="M9" s="28">
        <f t="shared" si="3"/>
        <v>1.3</v>
      </c>
      <c r="N9" s="28">
        <f t="shared" si="4"/>
        <v>2801.7277652000007</v>
      </c>
      <c r="O9" s="28">
        <f t="shared" si="5"/>
        <v>8.9999999999999993E-3</v>
      </c>
      <c r="P9" s="106">
        <f t="shared" si="11"/>
        <v>19.396576836000001</v>
      </c>
      <c r="Q9" s="106">
        <f t="shared" si="12"/>
        <v>2.9999999999999997E-5</v>
      </c>
      <c r="R9" s="106">
        <f t="shared" si="13"/>
        <v>6.4655256120000004E-2</v>
      </c>
      <c r="S9">
        <v>100</v>
      </c>
      <c r="T9">
        <f>G9*S9*assumptions!$D$6</f>
        <v>61880</v>
      </c>
      <c r="U9">
        <v>10.9</v>
      </c>
      <c r="V9" s="57">
        <v>9.7222222222222224E-2</v>
      </c>
      <c r="W9" s="48">
        <v>4554.47</v>
      </c>
      <c r="X9" s="48">
        <f t="shared" si="6"/>
        <v>2960.4055000000003</v>
      </c>
      <c r="Y9" s="51">
        <f>X9*assumptions!$D$8</f>
        <v>3848.5271500000003</v>
      </c>
      <c r="Z9" s="20">
        <f t="shared" si="7"/>
        <v>19.04021486111111</v>
      </c>
      <c r="AA9" s="51">
        <f>Z9*assumptions!$C$11</f>
        <v>1808.8204118055555</v>
      </c>
      <c r="AB9">
        <v>2</v>
      </c>
      <c r="AC9">
        <v>3</v>
      </c>
      <c r="AD9" s="58">
        <v>111.6</v>
      </c>
      <c r="AE9" s="49">
        <v>3.5</v>
      </c>
      <c r="AF9" s="51">
        <v>929</v>
      </c>
      <c r="AG9" s="51">
        <v>1048.5</v>
      </c>
      <c r="AH9" s="51">
        <v>6287</v>
      </c>
      <c r="AI9" s="51">
        <v>18640</v>
      </c>
      <c r="AJ9" s="51">
        <v>4660</v>
      </c>
      <c r="AK9" s="51">
        <v>1456</v>
      </c>
      <c r="AL9" s="51">
        <v>2550</v>
      </c>
      <c r="AM9" s="51">
        <v>2985</v>
      </c>
      <c r="AN9" s="104">
        <f t="shared" si="8"/>
        <v>44212.84756180556</v>
      </c>
      <c r="AO9" s="51">
        <v>9486</v>
      </c>
      <c r="AP9" s="51">
        <v>38150</v>
      </c>
      <c r="AQ9" s="58">
        <f t="shared" si="9"/>
        <v>47636</v>
      </c>
      <c r="AR9" s="5"/>
    </row>
    <row r="10" spans="1:64" x14ac:dyDescent="0.3">
      <c r="B10" s="27" t="s">
        <v>49</v>
      </c>
      <c r="C10" s="28" t="s">
        <v>45</v>
      </c>
      <c r="D10" s="28" t="s">
        <v>46</v>
      </c>
      <c r="E10" s="29">
        <f>14*52</f>
        <v>728</v>
      </c>
      <c r="F10" s="28">
        <f t="shared" si="0"/>
        <v>364</v>
      </c>
      <c r="G10" s="28">
        <f t="shared" si="1"/>
        <v>728</v>
      </c>
      <c r="H10" s="28">
        <f>_xlfn.XLOOKUP(B10,'[1]Baseline 2025'!$B:$B,'[1]Baseline 2025'!$C:$C)</f>
        <v>158</v>
      </c>
      <c r="I10" s="28">
        <f t="shared" si="2"/>
        <v>115024</v>
      </c>
      <c r="J10" s="28" t="str">
        <f>_xlfn.XLOOKUP(B10,'[1]Baseline 2025'!$B:$B,'[1]Baseline 2025'!$E:$E)</f>
        <v>Short Haul</v>
      </c>
      <c r="K10" s="28">
        <f>_xlfn.XLOOKUP(B10,'[1]Baseline 2025'!$B:$B,'[1]Baseline 2025'!$I:$I)/100</f>
        <v>8442.7615999999998</v>
      </c>
      <c r="L10" s="28">
        <f t="shared" si="10"/>
        <v>548779.50400000007</v>
      </c>
      <c r="M10" s="28">
        <f t="shared" si="3"/>
        <v>1.3</v>
      </c>
      <c r="N10" s="28">
        <f t="shared" si="4"/>
        <v>713.41335520000007</v>
      </c>
      <c r="O10" s="28">
        <f t="shared" si="5"/>
        <v>8.9999999999999993E-3</v>
      </c>
      <c r="P10" s="106">
        <f t="shared" si="11"/>
        <v>4.9390155360000003</v>
      </c>
      <c r="Q10" s="106">
        <f t="shared" si="12"/>
        <v>2.9999999999999997E-5</v>
      </c>
      <c r="R10" s="106">
        <f t="shared" si="13"/>
        <v>1.646338512E-2</v>
      </c>
      <c r="S10">
        <v>100</v>
      </c>
      <c r="T10">
        <f>G10*S10*assumptions!$D$6</f>
        <v>61880</v>
      </c>
      <c r="U10">
        <v>10.9</v>
      </c>
      <c r="V10" s="57">
        <v>2.7777777777777776E-2</v>
      </c>
      <c r="W10" s="48">
        <v>579.86</v>
      </c>
      <c r="X10" s="48">
        <f t="shared" si="6"/>
        <v>376.90900000000005</v>
      </c>
      <c r="Y10" s="51">
        <f>X10*assumptions!$D$8</f>
        <v>489.9817000000001</v>
      </c>
      <c r="Z10" s="20">
        <f t="shared" si="7"/>
        <v>2.4241369444444443</v>
      </c>
      <c r="AA10" s="51">
        <f>Z10*assumptions!$C$11</f>
        <v>230.29300972222219</v>
      </c>
      <c r="AB10">
        <v>2</v>
      </c>
      <c r="AC10">
        <v>3</v>
      </c>
      <c r="AD10" s="58">
        <v>46.5</v>
      </c>
      <c r="AE10" s="49">
        <v>3.5</v>
      </c>
      <c r="AF10" s="51">
        <v>118</v>
      </c>
      <c r="AG10" s="51">
        <v>302</v>
      </c>
      <c r="AH10" s="51">
        <v>4662</v>
      </c>
      <c r="AI10" s="51">
        <v>5360</v>
      </c>
      <c r="AJ10" s="51">
        <v>1340</v>
      </c>
      <c r="AK10" s="51">
        <v>419</v>
      </c>
      <c r="AL10" s="51">
        <v>2550</v>
      </c>
      <c r="AM10" s="51">
        <v>1110</v>
      </c>
      <c r="AN10" s="104">
        <f t="shared" si="8"/>
        <v>16581.274709722224</v>
      </c>
      <c r="AO10" s="51">
        <v>3952.5</v>
      </c>
      <c r="AP10" s="51">
        <v>38150</v>
      </c>
      <c r="AQ10" s="58">
        <f t="shared" si="9"/>
        <v>42102.5</v>
      </c>
      <c r="AR10" s="5"/>
    </row>
    <row r="11" spans="1:64" x14ac:dyDescent="0.3">
      <c r="B11" s="27" t="s">
        <v>50</v>
      </c>
      <c r="C11" s="28" t="s">
        <v>45</v>
      </c>
      <c r="D11" s="28" t="s">
        <v>46</v>
      </c>
      <c r="E11" s="29">
        <f>7*52*2</f>
        <v>728</v>
      </c>
      <c r="F11" s="28">
        <f t="shared" si="0"/>
        <v>364</v>
      </c>
      <c r="G11" s="28">
        <f t="shared" si="1"/>
        <v>728</v>
      </c>
      <c r="H11" s="28">
        <f>_xlfn.XLOOKUP(B11,'[1]Baseline 2025'!$B:$B,'[1]Baseline 2025'!$C:$C)</f>
        <v>561</v>
      </c>
      <c r="I11" s="28">
        <f t="shared" si="2"/>
        <v>408408</v>
      </c>
      <c r="J11" s="28" t="str">
        <f>_xlfn.XLOOKUP(B11,'[1]Baseline 2025'!$B:$B,'[1]Baseline 2025'!$E:$E)</f>
        <v>Short Haul</v>
      </c>
      <c r="K11" s="28">
        <f>_xlfn.XLOOKUP(B11,'[1]Baseline 2025'!$B:$B,'[1]Baseline 2025'!$I:$I)/100</f>
        <v>14988.573600000002</v>
      </c>
      <c r="L11" s="28">
        <f t="shared" si="10"/>
        <v>974257.2840000001</v>
      </c>
      <c r="M11" s="28">
        <f t="shared" si="3"/>
        <v>1.3</v>
      </c>
      <c r="N11" s="28">
        <f t="shared" si="4"/>
        <v>1266.5344692000001</v>
      </c>
      <c r="O11" s="28">
        <f t="shared" si="5"/>
        <v>8.9999999999999993E-3</v>
      </c>
      <c r="P11" s="106">
        <f t="shared" si="11"/>
        <v>8.7683155559999992</v>
      </c>
      <c r="Q11" s="106">
        <f t="shared" si="12"/>
        <v>2.9999999999999997E-5</v>
      </c>
      <c r="R11" s="106">
        <f t="shared" si="13"/>
        <v>2.9227718520000001E-2</v>
      </c>
      <c r="S11">
        <v>100</v>
      </c>
      <c r="T11">
        <f>G11*S11*assumptions!$D$6</f>
        <v>61880</v>
      </c>
      <c r="U11">
        <v>10.9</v>
      </c>
      <c r="V11" s="57">
        <v>5.5555555555555552E-2</v>
      </c>
      <c r="W11" s="48">
        <v>2058.87</v>
      </c>
      <c r="X11" s="48">
        <f t="shared" si="6"/>
        <v>1338.2655</v>
      </c>
      <c r="Y11" s="51">
        <f>X11*assumptions!$D$8</f>
        <v>1739.74515</v>
      </c>
      <c r="Z11" s="20">
        <f t="shared" si="7"/>
        <v>8.6072204166666655</v>
      </c>
      <c r="AA11" s="51">
        <f>Z11*assumptions!$C$11</f>
        <v>817.68593958333327</v>
      </c>
      <c r="AB11">
        <v>2</v>
      </c>
      <c r="AC11">
        <v>3</v>
      </c>
      <c r="AD11" s="58">
        <v>56</v>
      </c>
      <c r="AE11" s="49">
        <v>3.5</v>
      </c>
      <c r="AF11" s="51">
        <v>420</v>
      </c>
      <c r="AG11" s="51">
        <v>598.5</v>
      </c>
      <c r="AH11" s="51">
        <v>5267</v>
      </c>
      <c r="AI11" s="51">
        <v>10640</v>
      </c>
      <c r="AJ11" s="51">
        <v>2660</v>
      </c>
      <c r="AK11" s="51">
        <v>831</v>
      </c>
      <c r="AL11" s="51">
        <v>2550</v>
      </c>
      <c r="AM11" s="51">
        <v>1842</v>
      </c>
      <c r="AN11" s="104">
        <f t="shared" si="8"/>
        <v>27365.931089583333</v>
      </c>
      <c r="AO11" s="51">
        <v>4760</v>
      </c>
      <c r="AP11" s="51">
        <v>38150</v>
      </c>
      <c r="AQ11" s="58">
        <f t="shared" si="9"/>
        <v>42910</v>
      </c>
      <c r="AR11" s="5"/>
    </row>
    <row r="12" spans="1:64" x14ac:dyDescent="0.3">
      <c r="B12" s="27" t="s">
        <v>51</v>
      </c>
      <c r="C12" s="28" t="s">
        <v>45</v>
      </c>
      <c r="D12" s="28" t="s">
        <v>46</v>
      </c>
      <c r="E12" s="29">
        <f t="shared" ref="E12:E20" si="14">7*52</f>
        <v>364</v>
      </c>
      <c r="F12" s="28">
        <f t="shared" si="0"/>
        <v>182</v>
      </c>
      <c r="G12" s="28">
        <f t="shared" si="1"/>
        <v>364</v>
      </c>
      <c r="H12" s="28">
        <f>_xlfn.XLOOKUP(B12,'[1]Baseline 2025'!$B:$B,'[1]Baseline 2025'!$C:$C)</f>
        <v>399</v>
      </c>
      <c r="I12" s="28">
        <f t="shared" si="2"/>
        <v>145236</v>
      </c>
      <c r="J12" s="28" t="str">
        <f>_xlfn.XLOOKUP(B12,'[1]Baseline 2025'!$B:$B,'[1]Baseline 2025'!$E:$E)</f>
        <v>Short Haul</v>
      </c>
      <c r="K12" s="28">
        <f>_xlfn.XLOOKUP(B12,'[1]Baseline 2025'!$B:$B,'[1]Baseline 2025'!$I:$I)/100</f>
        <v>10660.322399999999</v>
      </c>
      <c r="L12" s="28">
        <f t="shared" si="10"/>
        <v>692920.95600000001</v>
      </c>
      <c r="M12" s="28">
        <f t="shared" si="3"/>
        <v>1.3</v>
      </c>
      <c r="N12" s="28">
        <f t="shared" si="4"/>
        <v>900.79724280000005</v>
      </c>
      <c r="O12" s="28">
        <f t="shared" si="5"/>
        <v>8.9999999999999993E-3</v>
      </c>
      <c r="P12" s="106">
        <f t="shared" si="11"/>
        <v>6.2362886039999994</v>
      </c>
      <c r="Q12" s="106">
        <f t="shared" si="12"/>
        <v>2.9999999999999997E-5</v>
      </c>
      <c r="R12" s="106">
        <f t="shared" si="13"/>
        <v>2.0787628679999996E-2</v>
      </c>
      <c r="S12">
        <v>100</v>
      </c>
      <c r="T12">
        <f>G12*S12*assumptions!$D$6</f>
        <v>30940</v>
      </c>
      <c r="U12">
        <v>10.9</v>
      </c>
      <c r="V12" s="57">
        <v>5.5555555555555552E-2</v>
      </c>
      <c r="W12" s="48">
        <v>1464.33</v>
      </c>
      <c r="X12" s="48">
        <f t="shared" si="6"/>
        <v>951.81449999999995</v>
      </c>
      <c r="Y12" s="51">
        <f>X12*assumptions!$D$8</f>
        <v>1237.3588500000001</v>
      </c>
      <c r="Z12" s="20">
        <f t="shared" si="7"/>
        <v>6.1217129166666666</v>
      </c>
      <c r="AA12" s="51">
        <f>Z12*assumptions!$C$11</f>
        <v>581.56272708333336</v>
      </c>
      <c r="AB12">
        <v>2</v>
      </c>
      <c r="AC12">
        <v>3</v>
      </c>
      <c r="AD12" s="58">
        <v>50</v>
      </c>
      <c r="AE12" s="49">
        <v>3.5</v>
      </c>
      <c r="AF12" s="51">
        <v>299</v>
      </c>
      <c r="AG12" s="51">
        <v>598.5</v>
      </c>
      <c r="AH12" s="51">
        <v>5024</v>
      </c>
      <c r="AI12" s="51">
        <v>10640</v>
      </c>
      <c r="AJ12" s="51">
        <v>2660</v>
      </c>
      <c r="AK12" s="51">
        <v>831</v>
      </c>
      <c r="AL12" s="51">
        <v>2550</v>
      </c>
      <c r="AM12" s="51">
        <v>1757</v>
      </c>
      <c r="AN12" s="104">
        <f t="shared" si="8"/>
        <v>26178.421577083333</v>
      </c>
      <c r="AO12" s="51">
        <v>4250</v>
      </c>
      <c r="AP12" s="51">
        <v>38150</v>
      </c>
      <c r="AQ12" s="58">
        <f t="shared" si="9"/>
        <v>42400</v>
      </c>
      <c r="AR12" s="5"/>
    </row>
    <row r="13" spans="1:64" x14ac:dyDescent="0.3">
      <c r="B13" s="27" t="s">
        <v>52</v>
      </c>
      <c r="C13" s="28" t="s">
        <v>45</v>
      </c>
      <c r="D13" s="28" t="s">
        <v>46</v>
      </c>
      <c r="E13" s="29">
        <f t="shared" si="14"/>
        <v>364</v>
      </c>
      <c r="F13" s="28">
        <f t="shared" si="0"/>
        <v>182</v>
      </c>
      <c r="G13" s="28">
        <f t="shared" si="1"/>
        <v>364</v>
      </c>
      <c r="H13" s="28">
        <f>_xlfn.XLOOKUP(B13,'[1]Baseline 2025'!$B:$B,'[1]Baseline 2025'!$C:$C)</f>
        <v>753</v>
      </c>
      <c r="I13" s="28">
        <f t="shared" si="2"/>
        <v>274092</v>
      </c>
      <c r="J13" s="28" t="str">
        <f>_xlfn.XLOOKUP(B13,'[1]Baseline 2025'!$B:$B,'[1]Baseline 2025'!$E:$E)</f>
        <v>Short Haul</v>
      </c>
      <c r="K13" s="28">
        <f>_xlfn.XLOOKUP(B13,'[1]Baseline 2025'!$B:$B,'[1]Baseline 2025'!$I:$I)/100</f>
        <v>20118.352800000001</v>
      </c>
      <c r="L13" s="28">
        <f t="shared" si="10"/>
        <v>1307692.932</v>
      </c>
      <c r="M13" s="28">
        <f t="shared" si="3"/>
        <v>1.3</v>
      </c>
      <c r="N13" s="28">
        <f t="shared" si="4"/>
        <v>1700.0008116000001</v>
      </c>
      <c r="O13" s="28">
        <f t="shared" si="5"/>
        <v>8.9999999999999993E-3</v>
      </c>
      <c r="P13" s="106">
        <f t="shared" si="11"/>
        <v>11.769236387999999</v>
      </c>
      <c r="Q13" s="106">
        <f t="shared" si="12"/>
        <v>2.9999999999999997E-5</v>
      </c>
      <c r="R13" s="106">
        <f t="shared" si="13"/>
        <v>3.9230787959999999E-2</v>
      </c>
      <c r="S13">
        <v>100</v>
      </c>
      <c r="T13">
        <f>G13*S13*assumptions!$D$6</f>
        <v>30940</v>
      </c>
      <c r="U13">
        <v>10.9</v>
      </c>
      <c r="V13" s="57">
        <v>6.9444444444444448E-2</v>
      </c>
      <c r="W13" s="48">
        <v>2763.5099999999998</v>
      </c>
      <c r="X13" s="48">
        <f t="shared" si="6"/>
        <v>1796.2814999999998</v>
      </c>
      <c r="Y13" s="51">
        <f>X13*assumptions!$D$8</f>
        <v>2335.1659500000001</v>
      </c>
      <c r="Z13" s="20">
        <f t="shared" si="7"/>
        <v>11.55300708333333</v>
      </c>
      <c r="AA13" s="51">
        <f>Z13*assumptions!$C$11</f>
        <v>1097.5356729166665</v>
      </c>
      <c r="AB13">
        <v>2</v>
      </c>
      <c r="AC13">
        <v>3</v>
      </c>
      <c r="AD13" s="58">
        <v>62</v>
      </c>
      <c r="AE13" s="49">
        <v>3.5</v>
      </c>
      <c r="AF13" s="51">
        <v>564</v>
      </c>
      <c r="AG13" s="51">
        <v>747</v>
      </c>
      <c r="AH13" s="51">
        <v>5555</v>
      </c>
      <c r="AI13" s="51">
        <v>13280</v>
      </c>
      <c r="AJ13" s="51">
        <v>3320</v>
      </c>
      <c r="AK13" s="51">
        <v>1038</v>
      </c>
      <c r="AL13" s="51">
        <v>2550</v>
      </c>
      <c r="AM13" s="51">
        <v>2202</v>
      </c>
      <c r="AN13" s="104">
        <f t="shared" si="8"/>
        <v>32688.701622916669</v>
      </c>
      <c r="AO13" s="51">
        <v>5270</v>
      </c>
      <c r="AP13" s="51">
        <v>38150</v>
      </c>
      <c r="AQ13" s="58">
        <f t="shared" si="9"/>
        <v>43420</v>
      </c>
      <c r="AR13" s="5"/>
    </row>
    <row r="14" spans="1:64" x14ac:dyDescent="0.3">
      <c r="B14" s="27" t="s">
        <v>53</v>
      </c>
      <c r="C14" s="28" t="s">
        <v>45</v>
      </c>
      <c r="D14" s="28" t="s">
        <v>46</v>
      </c>
      <c r="E14" s="29">
        <f t="shared" si="14"/>
        <v>364</v>
      </c>
      <c r="F14" s="28">
        <f t="shared" si="0"/>
        <v>182</v>
      </c>
      <c r="G14" s="28">
        <f t="shared" si="1"/>
        <v>364</v>
      </c>
      <c r="H14" s="28">
        <f>_xlfn.XLOOKUP(B14,'[1]Baseline 2025'!$B:$B,'[1]Baseline 2025'!$C:$C)</f>
        <v>1970</v>
      </c>
      <c r="I14" s="28">
        <f t="shared" si="2"/>
        <v>717080</v>
      </c>
      <c r="J14" s="28" t="str">
        <f>_xlfn.XLOOKUP(B14,'[1]Baseline 2025'!$B:$B,'[1]Baseline 2025'!$E:$E)</f>
        <v>Short Haul</v>
      </c>
      <c r="K14" s="28">
        <f>_xlfn.XLOOKUP(B14,'[1]Baseline 2025'!$B:$B,'[1]Baseline 2025'!$I:$I)/100</f>
        <v>52633.671999999991</v>
      </c>
      <c r="L14" s="28">
        <f t="shared" si="10"/>
        <v>3421188.6799999997</v>
      </c>
      <c r="M14" s="28">
        <f t="shared" si="3"/>
        <v>1.3</v>
      </c>
      <c r="N14" s="28">
        <f t="shared" si="4"/>
        <v>4447.5452839999998</v>
      </c>
      <c r="O14" s="28">
        <f t="shared" si="5"/>
        <v>8.9999999999999993E-3</v>
      </c>
      <c r="P14" s="106">
        <f t="shared" si="11"/>
        <v>30.790698119999995</v>
      </c>
      <c r="Q14" s="106">
        <f t="shared" si="12"/>
        <v>2.9999999999999997E-5</v>
      </c>
      <c r="R14" s="106">
        <f t="shared" si="13"/>
        <v>0.10263566039999998</v>
      </c>
      <c r="S14">
        <v>100</v>
      </c>
      <c r="T14">
        <f>G14*S14*assumptions!$D$6</f>
        <v>30940</v>
      </c>
      <c r="U14">
        <v>10.9</v>
      </c>
      <c r="V14" s="57">
        <v>0.125</v>
      </c>
      <c r="W14" s="48">
        <v>7229.9</v>
      </c>
      <c r="X14" s="48">
        <f t="shared" si="6"/>
        <v>4699.4349999999995</v>
      </c>
      <c r="Y14" s="51">
        <f>X14*assumptions!$D$8</f>
        <v>6109.2654999999995</v>
      </c>
      <c r="Z14" s="20">
        <f t="shared" si="7"/>
        <v>30.224998611111104</v>
      </c>
      <c r="AA14" s="51">
        <f>Z14*assumptions!$C$11</f>
        <v>2871.374868055555</v>
      </c>
      <c r="AB14">
        <v>2</v>
      </c>
      <c r="AC14">
        <v>3</v>
      </c>
      <c r="AD14" s="58">
        <v>275</v>
      </c>
      <c r="AE14" s="49">
        <v>3.5</v>
      </c>
      <c r="AF14" s="51">
        <v>1475</v>
      </c>
      <c r="AG14" s="51">
        <v>1350</v>
      </c>
      <c r="AH14" s="51">
        <v>7380</v>
      </c>
      <c r="AI14" s="51">
        <v>24000</v>
      </c>
      <c r="AJ14" s="51">
        <v>6000</v>
      </c>
      <c r="AK14" s="51">
        <v>1875</v>
      </c>
      <c r="AL14" s="51">
        <v>2550</v>
      </c>
      <c r="AM14" s="51">
        <v>3893</v>
      </c>
      <c r="AN14" s="104">
        <f t="shared" si="8"/>
        <v>57503.64036805556</v>
      </c>
      <c r="AO14" s="51">
        <v>23375</v>
      </c>
      <c r="AP14" s="51">
        <v>38150</v>
      </c>
      <c r="AQ14" s="58">
        <f t="shared" si="9"/>
        <v>61525</v>
      </c>
      <c r="AR14" s="5"/>
    </row>
    <row r="15" spans="1:64" x14ac:dyDescent="0.3">
      <c r="B15" s="27" t="s">
        <v>54</v>
      </c>
      <c r="C15" s="28" t="s">
        <v>45</v>
      </c>
      <c r="D15" s="28" t="s">
        <v>46</v>
      </c>
      <c r="E15" s="29">
        <f t="shared" si="14"/>
        <v>364</v>
      </c>
      <c r="F15" s="28">
        <f t="shared" si="0"/>
        <v>182</v>
      </c>
      <c r="G15" s="28">
        <f t="shared" si="1"/>
        <v>364</v>
      </c>
      <c r="H15" s="28">
        <f>_xlfn.XLOOKUP(B15,'[1]Baseline 2025'!$B:$B,'[1]Baseline 2025'!$C:$C)</f>
        <v>1848</v>
      </c>
      <c r="I15" s="28">
        <f t="shared" si="2"/>
        <v>672672</v>
      </c>
      <c r="J15" s="28" t="str">
        <f>_xlfn.XLOOKUP(B15,'[1]Baseline 2025'!$B:$B,'[1]Baseline 2025'!$E:$E)</f>
        <v>Short Haul</v>
      </c>
      <c r="K15" s="28">
        <f>_xlfn.XLOOKUP(B15,'[1]Baseline 2025'!$B:$B,'[1]Baseline 2025'!$I:$I)/100</f>
        <v>49374.124799999998</v>
      </c>
      <c r="L15" s="28">
        <f t="shared" si="10"/>
        <v>3209318.1119999997</v>
      </c>
      <c r="M15" s="28">
        <f t="shared" si="3"/>
        <v>1.3</v>
      </c>
      <c r="N15" s="28">
        <f t="shared" si="4"/>
        <v>4172.1135456000002</v>
      </c>
      <c r="O15" s="28">
        <f t="shared" si="5"/>
        <v>8.9999999999999993E-3</v>
      </c>
      <c r="P15" s="106">
        <f t="shared" si="11"/>
        <v>28.883863007999995</v>
      </c>
      <c r="Q15" s="106">
        <f t="shared" si="12"/>
        <v>2.9999999999999997E-5</v>
      </c>
      <c r="R15" s="106">
        <f t="shared" si="13"/>
        <v>9.6279543359999983E-2</v>
      </c>
      <c r="S15">
        <v>100</v>
      </c>
      <c r="T15">
        <f>G15*S15*assumptions!$D$6</f>
        <v>30940</v>
      </c>
      <c r="U15">
        <v>10.9</v>
      </c>
      <c r="V15" s="57">
        <v>0.13194444444444445</v>
      </c>
      <c r="W15" s="48">
        <v>6782.16</v>
      </c>
      <c r="X15" s="48">
        <f t="shared" si="6"/>
        <v>4408.4040000000005</v>
      </c>
      <c r="Y15" s="51">
        <f>X15*assumptions!$D$8</f>
        <v>5730.9252000000006</v>
      </c>
      <c r="Z15" s="20">
        <f t="shared" si="7"/>
        <v>28.353196666666662</v>
      </c>
      <c r="AA15" s="51">
        <f>Z15*assumptions!$C$11</f>
        <v>2693.5536833333331</v>
      </c>
      <c r="AB15">
        <v>2</v>
      </c>
      <c r="AC15">
        <v>3</v>
      </c>
      <c r="AD15" s="58">
        <v>287</v>
      </c>
      <c r="AE15" s="49">
        <v>3.5</v>
      </c>
      <c r="AF15" s="51">
        <v>1384</v>
      </c>
      <c r="AG15" s="51">
        <v>1425</v>
      </c>
      <c r="AH15" s="51">
        <v>7197</v>
      </c>
      <c r="AI15" s="51">
        <v>25333.599999999999</v>
      </c>
      <c r="AJ15" s="51">
        <v>6333.4</v>
      </c>
      <c r="AK15" s="51">
        <v>1979</v>
      </c>
      <c r="AL15" s="51">
        <v>2550</v>
      </c>
      <c r="AM15" s="51">
        <v>3962</v>
      </c>
      <c r="AN15" s="104">
        <f t="shared" si="8"/>
        <v>58588.478883333337</v>
      </c>
      <c r="AO15" s="51">
        <v>24395</v>
      </c>
      <c r="AP15" s="51">
        <v>38150</v>
      </c>
      <c r="AQ15" s="58">
        <f t="shared" si="9"/>
        <v>62545</v>
      </c>
      <c r="AR15" s="5"/>
    </row>
    <row r="16" spans="1:64" x14ac:dyDescent="0.3">
      <c r="B16" s="27" t="s">
        <v>55</v>
      </c>
      <c r="C16" s="28" t="s">
        <v>45</v>
      </c>
      <c r="D16" s="28" t="s">
        <v>46</v>
      </c>
      <c r="E16" s="29">
        <f t="shared" si="14"/>
        <v>364</v>
      </c>
      <c r="F16" s="28">
        <f t="shared" si="0"/>
        <v>182</v>
      </c>
      <c r="G16" s="28">
        <f t="shared" si="1"/>
        <v>364</v>
      </c>
      <c r="H16" s="28">
        <f>_xlfn.XLOOKUP(B16,'[1]Baseline 2025'!$B:$B,'[1]Baseline 2025'!$C:$C)</f>
        <v>665</v>
      </c>
      <c r="I16" s="28">
        <f t="shared" si="2"/>
        <v>242060</v>
      </c>
      <c r="J16" s="28" t="str">
        <f>_xlfn.XLOOKUP(B16,'[1]Baseline 2025'!$B:$B,'[1]Baseline 2025'!$E:$E)</f>
        <v>Short Haul</v>
      </c>
      <c r="K16" s="28">
        <f>_xlfn.XLOOKUP(B16,'[1]Baseline 2025'!$B:$B,'[1]Baseline 2025'!$I:$I)/100</f>
        <v>17767.203999999998</v>
      </c>
      <c r="L16" s="28">
        <f t="shared" si="10"/>
        <v>1154868.26</v>
      </c>
      <c r="M16" s="28">
        <f t="shared" si="3"/>
        <v>1.3</v>
      </c>
      <c r="N16" s="28">
        <f t="shared" si="4"/>
        <v>1501.3287380000002</v>
      </c>
      <c r="O16" s="28">
        <f t="shared" si="5"/>
        <v>8.9999999999999993E-3</v>
      </c>
      <c r="P16" s="106">
        <f t="shared" si="11"/>
        <v>10.393814339999999</v>
      </c>
      <c r="Q16" s="106">
        <f t="shared" si="12"/>
        <v>2.9999999999999997E-5</v>
      </c>
      <c r="R16" s="106">
        <f t="shared" si="13"/>
        <v>3.4646047799999996E-2</v>
      </c>
      <c r="S16">
        <v>100</v>
      </c>
      <c r="T16">
        <f>G16*S16*assumptions!$D$6</f>
        <v>30940</v>
      </c>
      <c r="U16">
        <v>10.9</v>
      </c>
      <c r="V16" s="57">
        <v>5.9027777777777776E-2</v>
      </c>
      <c r="W16" s="48">
        <v>2440.5499999999997</v>
      </c>
      <c r="X16" s="48">
        <f t="shared" si="6"/>
        <v>1586.3574999999998</v>
      </c>
      <c r="Y16" s="51">
        <f>X16*assumptions!$D$8</f>
        <v>2062.2647499999998</v>
      </c>
      <c r="Z16" s="20">
        <f t="shared" si="7"/>
        <v>10.20285486111111</v>
      </c>
      <c r="AA16" s="51">
        <f>Z16*assumptions!$C$11</f>
        <v>969.27121180555548</v>
      </c>
      <c r="AB16">
        <v>2</v>
      </c>
      <c r="AC16">
        <v>3</v>
      </c>
      <c r="AD16" s="58">
        <v>60</v>
      </c>
      <c r="AE16" s="49">
        <v>3.5</v>
      </c>
      <c r="AF16" s="51">
        <v>498</v>
      </c>
      <c r="AG16" s="51">
        <v>639</v>
      </c>
      <c r="AH16" s="51">
        <v>5423</v>
      </c>
      <c r="AI16" s="51">
        <v>11360</v>
      </c>
      <c r="AJ16" s="51">
        <v>2840</v>
      </c>
      <c r="AK16" s="51">
        <v>888</v>
      </c>
      <c r="AL16" s="51">
        <v>2550</v>
      </c>
      <c r="AM16" s="51">
        <v>1967</v>
      </c>
      <c r="AN16" s="104">
        <f t="shared" si="8"/>
        <v>29196.535961805559</v>
      </c>
      <c r="AO16" s="51">
        <v>5138.25</v>
      </c>
      <c r="AP16" s="51">
        <v>38150</v>
      </c>
      <c r="AQ16" s="58">
        <f t="shared" si="9"/>
        <v>43288.25</v>
      </c>
      <c r="AR16" s="5"/>
    </row>
    <row r="17" spans="1:44" x14ac:dyDescent="0.3">
      <c r="B17" s="27" t="s">
        <v>56</v>
      </c>
      <c r="C17" s="28" t="s">
        <v>45</v>
      </c>
      <c r="D17" s="28" t="s">
        <v>46</v>
      </c>
      <c r="E17" s="29">
        <f t="shared" si="14"/>
        <v>364</v>
      </c>
      <c r="F17" s="28">
        <f t="shared" si="0"/>
        <v>182</v>
      </c>
      <c r="G17" s="28">
        <f t="shared" si="1"/>
        <v>364</v>
      </c>
      <c r="H17" s="28">
        <f>_xlfn.XLOOKUP(B17,'[1]Baseline 2025'!$B:$B,'[1]Baseline 2025'!$C:$C)</f>
        <v>961</v>
      </c>
      <c r="I17" s="28">
        <f t="shared" si="2"/>
        <v>349804</v>
      </c>
      <c r="J17" s="28" t="str">
        <f>_xlfn.XLOOKUP(B17,'[1]Baseline 2025'!$B:$B,'[1]Baseline 2025'!$E:$E)</f>
        <v>Short Haul</v>
      </c>
      <c r="K17" s="28">
        <f>_xlfn.XLOOKUP(B17,'[1]Baseline 2025'!$B:$B,'[1]Baseline 2025'!$I:$I)/100</f>
        <v>25675.613599999997</v>
      </c>
      <c r="L17" s="28">
        <f t="shared" si="10"/>
        <v>1668914.8840000001</v>
      </c>
      <c r="M17" s="28">
        <f t="shared" si="3"/>
        <v>1.3</v>
      </c>
      <c r="N17" s="28">
        <f t="shared" si="4"/>
        <v>2169.5893492</v>
      </c>
      <c r="O17" s="28">
        <f t="shared" si="5"/>
        <v>8.9999999999999993E-3</v>
      </c>
      <c r="P17" s="106">
        <f t="shared" si="11"/>
        <v>15.020233956</v>
      </c>
      <c r="Q17" s="106">
        <f t="shared" si="12"/>
        <v>2.9999999999999997E-5</v>
      </c>
      <c r="R17" s="106">
        <f t="shared" si="13"/>
        <v>5.0067446519999996E-2</v>
      </c>
      <c r="S17">
        <v>100</v>
      </c>
      <c r="T17">
        <f>G17*S17*assumptions!$D$6</f>
        <v>30940</v>
      </c>
      <c r="U17">
        <v>10.9</v>
      </c>
      <c r="V17" s="57">
        <v>7.2916666666666671E-2</v>
      </c>
      <c r="W17" s="48">
        <v>3526.87</v>
      </c>
      <c r="X17" s="48">
        <f t="shared" si="6"/>
        <v>2292.4654999999998</v>
      </c>
      <c r="Y17" s="51">
        <f>X17*assumptions!$D$8</f>
        <v>2980.2051499999998</v>
      </c>
      <c r="Z17" s="20">
        <f t="shared" si="7"/>
        <v>14.744275972222219</v>
      </c>
      <c r="AA17" s="51">
        <f>Z17*assumptions!$C$11</f>
        <v>1400.7062173611109</v>
      </c>
      <c r="AB17">
        <v>2</v>
      </c>
      <c r="AC17">
        <v>3</v>
      </c>
      <c r="AD17" s="58">
        <v>65</v>
      </c>
      <c r="AE17" s="49">
        <v>3.5</v>
      </c>
      <c r="AF17" s="51">
        <v>720</v>
      </c>
      <c r="AG17" s="51">
        <v>787.5</v>
      </c>
      <c r="AH17" s="51">
        <v>5867</v>
      </c>
      <c r="AI17" s="51">
        <v>14000</v>
      </c>
      <c r="AJ17" s="51">
        <v>3500</v>
      </c>
      <c r="AK17" s="51">
        <v>1094</v>
      </c>
      <c r="AL17" s="51">
        <v>2550</v>
      </c>
      <c r="AM17" s="51">
        <v>2381</v>
      </c>
      <c r="AN17" s="104">
        <f t="shared" si="8"/>
        <v>35280.411367361114</v>
      </c>
      <c r="AO17" s="51">
        <v>5525</v>
      </c>
      <c r="AP17" s="51">
        <v>38150</v>
      </c>
      <c r="AQ17" s="58">
        <f t="shared" si="9"/>
        <v>43675</v>
      </c>
      <c r="AR17" s="5"/>
    </row>
    <row r="18" spans="1:44" x14ac:dyDescent="0.3">
      <c r="B18" s="27" t="s">
        <v>57</v>
      </c>
      <c r="C18" s="28" t="s">
        <v>45</v>
      </c>
      <c r="D18" s="28" t="s">
        <v>46</v>
      </c>
      <c r="E18" s="29">
        <f t="shared" si="14"/>
        <v>364</v>
      </c>
      <c r="F18" s="28">
        <f t="shared" si="0"/>
        <v>182</v>
      </c>
      <c r="G18" s="28">
        <f t="shared" si="1"/>
        <v>364</v>
      </c>
      <c r="H18" s="28">
        <f>_xlfn.XLOOKUP(B18,'[1]Baseline 2025'!$B:$B,'[1]Baseline 2025'!$C:$C)</f>
        <v>1426</v>
      </c>
      <c r="I18" s="28">
        <f t="shared" si="2"/>
        <v>519064</v>
      </c>
      <c r="J18" s="28" t="str">
        <f>_xlfn.XLOOKUP(B18,'[1]Baseline 2025'!$B:$B,'[1]Baseline 2025'!$E:$E)</f>
        <v>Short Haul</v>
      </c>
      <c r="K18" s="28">
        <f>_xlfn.XLOOKUP(B18,'[1]Baseline 2025'!$B:$B,'[1]Baseline 2025'!$I:$I)/100</f>
        <v>38099.297600000005</v>
      </c>
      <c r="L18" s="28">
        <f t="shared" si="10"/>
        <v>2476454.3440000005</v>
      </c>
      <c r="M18" s="28">
        <f t="shared" si="3"/>
        <v>1.3</v>
      </c>
      <c r="N18" s="28">
        <f t="shared" si="4"/>
        <v>3219.3906472000008</v>
      </c>
      <c r="O18" s="28">
        <f t="shared" si="5"/>
        <v>8.9999999999999993E-3</v>
      </c>
      <c r="P18" s="106">
        <f t="shared" si="11"/>
        <v>22.288089096000004</v>
      </c>
      <c r="Q18" s="106">
        <f t="shared" si="12"/>
        <v>2.9999999999999997E-5</v>
      </c>
      <c r="R18" s="106">
        <f t="shared" si="13"/>
        <v>7.4293630320000012E-2</v>
      </c>
      <c r="S18">
        <v>100</v>
      </c>
      <c r="T18">
        <f>G18*S18*assumptions!$D$6</f>
        <v>30940</v>
      </c>
      <c r="U18">
        <v>10.9</v>
      </c>
      <c r="V18" s="57">
        <v>0.10069444444444445</v>
      </c>
      <c r="W18" s="48">
        <v>5233.42</v>
      </c>
      <c r="X18" s="48">
        <f t="shared" si="6"/>
        <v>3401.723</v>
      </c>
      <c r="Y18" s="51">
        <f>X18*assumptions!$D$8</f>
        <v>4422.2399000000005</v>
      </c>
      <c r="Z18" s="20">
        <f t="shared" si="7"/>
        <v>21.878603055555551</v>
      </c>
      <c r="AA18" s="51">
        <f>Z18*assumptions!$C$11</f>
        <v>2078.4672902777775</v>
      </c>
      <c r="AB18">
        <v>2</v>
      </c>
      <c r="AC18">
        <v>3</v>
      </c>
      <c r="AD18" s="60">
        <v>137</v>
      </c>
      <c r="AE18" s="49">
        <v>3.5</v>
      </c>
      <c r="AF18" s="51">
        <v>1068</v>
      </c>
      <c r="AG18" s="51">
        <v>1089</v>
      </c>
      <c r="AH18" s="51">
        <v>6564</v>
      </c>
      <c r="AI18" s="51">
        <v>19360</v>
      </c>
      <c r="AJ18" s="51">
        <v>4840</v>
      </c>
      <c r="AK18" s="51">
        <v>1513</v>
      </c>
      <c r="AL18" s="51">
        <v>2550</v>
      </c>
      <c r="AM18" s="51">
        <v>3152</v>
      </c>
      <c r="AN18" s="104">
        <f t="shared" si="8"/>
        <v>46636.707190277775</v>
      </c>
      <c r="AO18" s="51">
        <v>11645</v>
      </c>
      <c r="AP18" s="51">
        <v>38150</v>
      </c>
      <c r="AQ18" s="58">
        <f t="shared" si="9"/>
        <v>49795</v>
      </c>
      <c r="AR18" s="5"/>
    </row>
    <row r="19" spans="1:44" x14ac:dyDescent="0.3">
      <c r="B19" s="27" t="s">
        <v>58</v>
      </c>
      <c r="C19" s="28" t="s">
        <v>45</v>
      </c>
      <c r="D19" s="28" t="s">
        <v>46</v>
      </c>
      <c r="E19" s="29">
        <f t="shared" si="14"/>
        <v>364</v>
      </c>
      <c r="F19" s="28">
        <f t="shared" si="0"/>
        <v>182</v>
      </c>
      <c r="G19" s="28">
        <f t="shared" si="1"/>
        <v>364</v>
      </c>
      <c r="H19" s="28">
        <f>_xlfn.XLOOKUP(B19,'[1]Baseline 2025'!$B:$B,'[1]Baseline 2025'!$C:$C)</f>
        <v>962</v>
      </c>
      <c r="I19" s="28">
        <f t="shared" si="2"/>
        <v>350168</v>
      </c>
      <c r="J19" s="28" t="str">
        <f>_xlfn.XLOOKUP(B19,'[1]Baseline 2025'!$B:$B,'[1]Baseline 2025'!$E:$E)</f>
        <v>Short Haul</v>
      </c>
      <c r="K19" s="28">
        <f>_xlfn.XLOOKUP(B19,'[1]Baseline 2025'!$B:$B,'[1]Baseline 2025'!$I:$I)/100</f>
        <v>25702.331200000001</v>
      </c>
      <c r="L19" s="28">
        <f t="shared" si="10"/>
        <v>1670651.5280000002</v>
      </c>
      <c r="M19" s="28">
        <f t="shared" si="3"/>
        <v>1.3</v>
      </c>
      <c r="N19" s="28">
        <f t="shared" si="4"/>
        <v>2171.8469864000003</v>
      </c>
      <c r="O19" s="28">
        <f t="shared" si="5"/>
        <v>8.9999999999999993E-3</v>
      </c>
      <c r="P19" s="106">
        <f t="shared" si="11"/>
        <v>15.035863752000001</v>
      </c>
      <c r="Q19" s="106">
        <f t="shared" si="12"/>
        <v>2.9999999999999997E-5</v>
      </c>
      <c r="R19" s="106">
        <f t="shared" si="13"/>
        <v>5.0119545840000002E-2</v>
      </c>
      <c r="S19">
        <v>100</v>
      </c>
      <c r="T19">
        <f>G19*S19*assumptions!$D$6</f>
        <v>30940</v>
      </c>
      <c r="U19">
        <v>10.9</v>
      </c>
      <c r="V19" s="57">
        <v>7.2916666666666671E-2</v>
      </c>
      <c r="W19" s="48">
        <v>3530.54</v>
      </c>
      <c r="X19" s="48">
        <f t="shared" si="6"/>
        <v>2294.8510000000001</v>
      </c>
      <c r="Y19" s="51">
        <f>X19*assumptions!$D$8</f>
        <v>2983.3063000000002</v>
      </c>
      <c r="Z19" s="20">
        <f t="shared" si="7"/>
        <v>14.75961861111111</v>
      </c>
      <c r="AA19" s="51">
        <f>Z19*assumptions!$C$11</f>
        <v>1402.1637680555555</v>
      </c>
      <c r="AB19">
        <v>2</v>
      </c>
      <c r="AC19">
        <v>3</v>
      </c>
      <c r="AD19" s="58">
        <v>68.2</v>
      </c>
      <c r="AE19" s="49">
        <v>3.5</v>
      </c>
      <c r="AF19" s="51">
        <v>721</v>
      </c>
      <c r="AG19" s="51">
        <v>787.5</v>
      </c>
      <c r="AH19" s="51">
        <v>5868</v>
      </c>
      <c r="AI19" s="51">
        <v>14000</v>
      </c>
      <c r="AJ19" s="51">
        <v>3500</v>
      </c>
      <c r="AK19" s="51">
        <v>1094</v>
      </c>
      <c r="AL19" s="51">
        <v>2550</v>
      </c>
      <c r="AM19" s="51">
        <v>2382</v>
      </c>
      <c r="AN19" s="104">
        <f t="shared" si="8"/>
        <v>35287.970068055554</v>
      </c>
      <c r="AO19" s="51">
        <v>5780</v>
      </c>
      <c r="AP19" s="51">
        <v>38150</v>
      </c>
      <c r="AQ19" s="58">
        <f t="shared" si="9"/>
        <v>43930</v>
      </c>
      <c r="AR19" s="5"/>
    </row>
    <row r="20" spans="1:44" x14ac:dyDescent="0.3">
      <c r="B20" s="27" t="s">
        <v>59</v>
      </c>
      <c r="C20" s="28" t="s">
        <v>45</v>
      </c>
      <c r="D20" s="28" t="s">
        <v>46</v>
      </c>
      <c r="E20" s="29">
        <f t="shared" si="14"/>
        <v>364</v>
      </c>
      <c r="F20" s="28">
        <f t="shared" si="0"/>
        <v>182</v>
      </c>
      <c r="G20" s="28">
        <f t="shared" si="1"/>
        <v>364</v>
      </c>
      <c r="H20" s="28">
        <f>_xlfn.XLOOKUP(B20,'[1]Baseline 2025'!$B:$B,'[1]Baseline 2025'!$C:$C)</f>
        <v>1105</v>
      </c>
      <c r="I20" s="28">
        <f t="shared" si="2"/>
        <v>402220</v>
      </c>
      <c r="J20" s="28" t="str">
        <f>_xlfn.XLOOKUP(B20,'[1]Baseline 2025'!$B:$B,'[1]Baseline 2025'!$E:$E)</f>
        <v>Short Haul</v>
      </c>
      <c r="K20" s="28">
        <f>_xlfn.XLOOKUP(B20,'[1]Baseline 2025'!$B:$B,'[1]Baseline 2025'!$I:$I)/100</f>
        <v>29522.948000000004</v>
      </c>
      <c r="L20" s="28">
        <f t="shared" si="10"/>
        <v>1918991.6200000003</v>
      </c>
      <c r="M20" s="28">
        <f t="shared" si="3"/>
        <v>1.3</v>
      </c>
      <c r="N20" s="28">
        <f t="shared" si="4"/>
        <v>2494.6891060000007</v>
      </c>
      <c r="O20" s="28">
        <f t="shared" si="5"/>
        <v>8.9999999999999993E-3</v>
      </c>
      <c r="P20" s="106">
        <f t="shared" si="11"/>
        <v>17.270924580000003</v>
      </c>
      <c r="Q20" s="106">
        <f t="shared" si="12"/>
        <v>2.9999999999999997E-5</v>
      </c>
      <c r="R20" s="106">
        <f t="shared" si="13"/>
        <v>5.7569748600000005E-2</v>
      </c>
      <c r="S20">
        <v>100</v>
      </c>
      <c r="T20">
        <f>G20*S20*assumptions!$D$6</f>
        <v>30940</v>
      </c>
      <c r="U20">
        <v>10.9</v>
      </c>
      <c r="V20" s="57">
        <v>7.9861111111111105E-2</v>
      </c>
      <c r="W20" s="48">
        <v>4055.35</v>
      </c>
      <c r="X20" s="48">
        <f t="shared" si="6"/>
        <v>2635.9775</v>
      </c>
      <c r="Y20" s="51">
        <f>X20*assumptions!$D$8</f>
        <v>3426.7707500000001</v>
      </c>
      <c r="Z20" s="20">
        <f t="shared" si="7"/>
        <v>16.95361597222222</v>
      </c>
      <c r="AA20" s="51">
        <f>Z20*assumptions!$C$11</f>
        <v>1610.593517361111</v>
      </c>
      <c r="AB20">
        <v>2</v>
      </c>
      <c r="AC20">
        <v>3</v>
      </c>
      <c r="AD20" s="58">
        <v>74.25</v>
      </c>
      <c r="AE20" s="49">
        <v>3.5</v>
      </c>
      <c r="AF20" s="51">
        <v>828</v>
      </c>
      <c r="AG20" s="51">
        <v>864</v>
      </c>
      <c r="AH20" s="51">
        <v>6083</v>
      </c>
      <c r="AI20" s="51">
        <v>15360</v>
      </c>
      <c r="AJ20" s="51">
        <v>3840</v>
      </c>
      <c r="AK20" s="51">
        <v>1200</v>
      </c>
      <c r="AL20" s="51">
        <v>2550</v>
      </c>
      <c r="AM20" s="51">
        <v>2590</v>
      </c>
      <c r="AN20" s="104">
        <f t="shared" si="8"/>
        <v>38352.36426736111</v>
      </c>
      <c r="AO20" s="51">
        <v>6311.25</v>
      </c>
      <c r="AP20" s="51">
        <v>38150</v>
      </c>
      <c r="AQ20" s="58">
        <f t="shared" si="9"/>
        <v>44461.25</v>
      </c>
      <c r="AR20" s="5"/>
    </row>
    <row r="21" spans="1:44" x14ac:dyDescent="0.3">
      <c r="B21" s="27" t="s">
        <v>60</v>
      </c>
      <c r="C21" s="28" t="s">
        <v>45</v>
      </c>
      <c r="D21" s="28" t="s">
        <v>46</v>
      </c>
      <c r="E21" s="29">
        <f>14*52*2</f>
        <v>1456</v>
      </c>
      <c r="F21" s="28">
        <f t="shared" si="0"/>
        <v>728</v>
      </c>
      <c r="G21" s="28">
        <f t="shared" si="1"/>
        <v>1456</v>
      </c>
      <c r="H21" s="28">
        <f>_xlfn.XLOOKUP(B21,'[1]Baseline 2025'!$B:$B,'[1]Baseline 2025'!$C:$C)</f>
        <v>603</v>
      </c>
      <c r="I21" s="28">
        <f t="shared" si="2"/>
        <v>877968</v>
      </c>
      <c r="J21" s="28" t="str">
        <f>_xlfn.XLOOKUP(B21,'[1]Baseline 2025'!$B:$B,'[1]Baseline 2025'!$E:$E)</f>
        <v>Short Haul</v>
      </c>
      <c r="K21" s="28">
        <f>_xlfn.XLOOKUP(B21,'[1]Baseline 2025'!$B:$B,'[1]Baseline 2025'!$I:$I)/100</f>
        <v>32221.425599999995</v>
      </c>
      <c r="L21" s="28">
        <f t="shared" si="10"/>
        <v>2094392.6639999999</v>
      </c>
      <c r="M21" s="28">
        <f t="shared" si="3"/>
        <v>1.3</v>
      </c>
      <c r="N21" s="28">
        <f t="shared" si="4"/>
        <v>2722.7104632</v>
      </c>
      <c r="O21" s="28">
        <f t="shared" si="5"/>
        <v>8.9999999999999993E-3</v>
      </c>
      <c r="P21" s="106">
        <f t="shared" si="11"/>
        <v>18.849533976</v>
      </c>
      <c r="Q21" s="106">
        <f t="shared" si="12"/>
        <v>2.9999999999999997E-5</v>
      </c>
      <c r="R21" s="106">
        <f t="shared" si="13"/>
        <v>6.2831779919999983E-2</v>
      </c>
      <c r="S21">
        <v>100</v>
      </c>
      <c r="T21">
        <f>G21*S21*assumptions!$D$6</f>
        <v>123760</v>
      </c>
      <c r="U21">
        <v>10.9</v>
      </c>
      <c r="V21" s="57">
        <v>5.9027777777777776E-2</v>
      </c>
      <c r="W21" s="48">
        <v>2213.0099999999998</v>
      </c>
      <c r="X21" s="48">
        <f t="shared" si="6"/>
        <v>1438.4565</v>
      </c>
      <c r="Y21" s="51">
        <f>X21*assumptions!$D$8</f>
        <v>1869.9934500000002</v>
      </c>
      <c r="Z21" s="20">
        <f t="shared" si="7"/>
        <v>9.2516112499999998</v>
      </c>
      <c r="AA21" s="51">
        <f>Z21*assumptions!$C$11</f>
        <v>878.90306874999999</v>
      </c>
      <c r="AB21">
        <v>2</v>
      </c>
      <c r="AC21">
        <v>3</v>
      </c>
      <c r="AD21" s="58">
        <v>55</v>
      </c>
      <c r="AE21" s="49">
        <v>3.5</v>
      </c>
      <c r="AF21" s="51">
        <v>452</v>
      </c>
      <c r="AG21" s="51">
        <v>639</v>
      </c>
      <c r="AH21" s="51">
        <v>5330</v>
      </c>
      <c r="AI21" s="51">
        <v>11360</v>
      </c>
      <c r="AJ21" s="51">
        <v>2840</v>
      </c>
      <c r="AK21" s="51">
        <v>888</v>
      </c>
      <c r="AL21" s="51">
        <v>2550</v>
      </c>
      <c r="AM21" s="51">
        <v>1935</v>
      </c>
      <c r="AN21" s="104">
        <f t="shared" si="8"/>
        <v>28742.896518750003</v>
      </c>
      <c r="AO21" s="51">
        <v>4675</v>
      </c>
      <c r="AP21" s="51">
        <v>38150</v>
      </c>
      <c r="AQ21" s="58">
        <f t="shared" si="9"/>
        <v>42825</v>
      </c>
      <c r="AR21" s="5"/>
    </row>
    <row r="22" spans="1:44" x14ac:dyDescent="0.3">
      <c r="B22" s="61" t="s">
        <v>61</v>
      </c>
      <c r="C22" s="24" t="s">
        <v>62</v>
      </c>
      <c r="D22" s="24" t="s">
        <v>46</v>
      </c>
      <c r="E22" s="25">
        <f>3*52*2</f>
        <v>312</v>
      </c>
      <c r="F22" s="24">
        <f t="shared" si="0"/>
        <v>156</v>
      </c>
      <c r="G22" s="24">
        <f t="shared" si="1"/>
        <v>312</v>
      </c>
      <c r="H22" s="24">
        <f>_xlfn.XLOOKUP(B22,'[1]Baseline 2025'!$B:$B,'[1]Baseline 2025'!$C:$C)</f>
        <v>9217</v>
      </c>
      <c r="I22" s="24">
        <f t="shared" si="2"/>
        <v>2875704</v>
      </c>
      <c r="J22" s="24" t="str">
        <f>_xlfn.XLOOKUP(B22,'[1]Baseline 2025'!$B:$B,'[1]Baseline 2025'!$E:$E)</f>
        <v>Long Haul</v>
      </c>
      <c r="K22" s="24">
        <f>_xlfn.XLOOKUP(B22,'[1]Baseline 2025'!$B:$B,'[1]Baseline 2025'!$I:$I)/100</f>
        <v>213377.23679999998</v>
      </c>
      <c r="L22" s="24">
        <f t="shared" si="10"/>
        <v>13869520.392000001</v>
      </c>
      <c r="M22" s="24">
        <f t="shared" si="3"/>
        <v>1.3</v>
      </c>
      <c r="N22" s="24">
        <f t="shared" si="4"/>
        <v>18030.376509600002</v>
      </c>
      <c r="O22" s="28">
        <f t="shared" si="5"/>
        <v>8.9999999999999993E-3</v>
      </c>
      <c r="P22" s="106">
        <f t="shared" si="11"/>
        <v>124.825683528</v>
      </c>
      <c r="Q22" s="106">
        <f t="shared" si="12"/>
        <v>2.9999999999999997E-5</v>
      </c>
      <c r="R22" s="106">
        <f t="shared" si="13"/>
        <v>0.41608561176000003</v>
      </c>
      <c r="S22">
        <v>300</v>
      </c>
      <c r="T22">
        <f>G22*S22*assumptions!$D$6</f>
        <v>79560</v>
      </c>
      <c r="U22">
        <v>20</v>
      </c>
      <c r="V22" s="57">
        <v>0.46875</v>
      </c>
      <c r="W22" s="48">
        <v>68390.14</v>
      </c>
      <c r="X22" s="48">
        <f t="shared" si="6"/>
        <v>44453.591</v>
      </c>
      <c r="Y22" s="51">
        <f>X22*assumptions!$D$8</f>
        <v>57789.668300000005</v>
      </c>
      <c r="Z22" s="20">
        <f t="shared" si="7"/>
        <v>285.90877972222222</v>
      </c>
      <c r="AA22" s="51">
        <f>Z22*assumptions!$C$11</f>
        <v>27161.334073611109</v>
      </c>
      <c r="AB22">
        <v>3</v>
      </c>
      <c r="AC22">
        <v>12</v>
      </c>
      <c r="AD22" s="58">
        <v>997</v>
      </c>
      <c r="AE22" s="49">
        <v>3.5</v>
      </c>
      <c r="AF22" s="51">
        <v>13959</v>
      </c>
      <c r="AG22" s="51">
        <v>11812.5</v>
      </c>
      <c r="AH22" s="51">
        <v>27101</v>
      </c>
      <c r="AI22" s="51">
        <v>90000</v>
      </c>
      <c r="AJ22" s="51">
        <v>22500</v>
      </c>
      <c r="AK22" s="51">
        <v>21094</v>
      </c>
      <c r="AL22" s="51">
        <v>7650</v>
      </c>
      <c r="AM22" s="51">
        <v>20532</v>
      </c>
      <c r="AN22" s="104">
        <f t="shared" si="8"/>
        <v>299599.50237361115</v>
      </c>
      <c r="AO22" s="51">
        <v>254235</v>
      </c>
      <c r="AP22" s="51">
        <v>70000</v>
      </c>
      <c r="AQ22" s="58">
        <f t="shared" si="9"/>
        <v>324235</v>
      </c>
      <c r="AR22" s="5"/>
    </row>
    <row r="23" spans="1:44" x14ac:dyDescent="0.3">
      <c r="B23" s="61" t="s">
        <v>63</v>
      </c>
      <c r="C23" s="24" t="s">
        <v>62</v>
      </c>
      <c r="D23" s="24" t="s">
        <v>46</v>
      </c>
      <c r="E23" s="25">
        <f>3*52*2</f>
        <v>312</v>
      </c>
      <c r="F23" s="24">
        <f t="shared" si="0"/>
        <v>156</v>
      </c>
      <c r="G23" s="24">
        <f t="shared" si="1"/>
        <v>312</v>
      </c>
      <c r="H23" s="24">
        <f>_xlfn.XLOOKUP(B23,'[1]Baseline 2025'!$B:$B,'[1]Baseline 2025'!$C:$C)</f>
        <v>9285</v>
      </c>
      <c r="I23" s="24">
        <f t="shared" si="2"/>
        <v>2896920</v>
      </c>
      <c r="J23" s="24" t="str">
        <f>_xlfn.XLOOKUP(B23,'[1]Baseline 2025'!$B:$B,'[1]Baseline 2025'!$E:$E)</f>
        <v>Long Haul</v>
      </c>
      <c r="K23" s="24">
        <f>_xlfn.XLOOKUP(B23,'[1]Baseline 2025'!$B:$B,'[1]Baseline 2025'!$I:$I)/100</f>
        <v>214951.46399999998</v>
      </c>
      <c r="L23" s="24">
        <f t="shared" si="10"/>
        <v>13971845.16</v>
      </c>
      <c r="M23" s="24">
        <f t="shared" si="3"/>
        <v>1.3</v>
      </c>
      <c r="N23" s="24">
        <f t="shared" si="4"/>
        <v>18163.398708000001</v>
      </c>
      <c r="O23" s="28">
        <f t="shared" si="5"/>
        <v>8.9999999999999993E-3</v>
      </c>
      <c r="P23" s="106">
        <f t="shared" si="11"/>
        <v>125.74660643999999</v>
      </c>
      <c r="Q23" s="106">
        <f t="shared" si="12"/>
        <v>2.9999999999999997E-5</v>
      </c>
      <c r="R23" s="106">
        <f t="shared" si="13"/>
        <v>0.41915535479999994</v>
      </c>
      <c r="S23">
        <v>300</v>
      </c>
      <c r="T23">
        <f>G23*S23*assumptions!$D$6</f>
        <v>79560</v>
      </c>
      <c r="U23">
        <v>20</v>
      </c>
      <c r="V23" s="57">
        <v>0.46875</v>
      </c>
      <c r="W23" s="48">
        <v>68894.7</v>
      </c>
      <c r="X23" s="48">
        <f t="shared" si="6"/>
        <v>44781.555</v>
      </c>
      <c r="Y23" s="51">
        <f>X23*assumptions!$D$8</f>
        <v>58216.021500000003</v>
      </c>
      <c r="Z23" s="20">
        <f t="shared" si="7"/>
        <v>288.01812083333328</v>
      </c>
      <c r="AA23" s="51">
        <f>Z23*assumptions!$C$11</f>
        <v>27361.721479166663</v>
      </c>
      <c r="AB23">
        <v>3</v>
      </c>
      <c r="AC23">
        <v>12</v>
      </c>
      <c r="AD23" s="58">
        <v>1000</v>
      </c>
      <c r="AE23" s="49">
        <v>3.5</v>
      </c>
      <c r="AF23" s="51">
        <v>14062</v>
      </c>
      <c r="AG23" s="51">
        <v>11812.5</v>
      </c>
      <c r="AH23" s="51">
        <v>27203</v>
      </c>
      <c r="AI23" s="51">
        <v>90000</v>
      </c>
      <c r="AJ23" s="51">
        <v>22500</v>
      </c>
      <c r="AK23" s="51">
        <v>21094</v>
      </c>
      <c r="AL23" s="51">
        <v>7650</v>
      </c>
      <c r="AM23" s="51">
        <v>20596</v>
      </c>
      <c r="AN23" s="104">
        <f t="shared" si="8"/>
        <v>300495.24297916668</v>
      </c>
      <c r="AO23" s="51">
        <v>255000</v>
      </c>
      <c r="AP23" s="51">
        <v>70000</v>
      </c>
      <c r="AQ23" s="58">
        <f t="shared" si="9"/>
        <v>325000</v>
      </c>
      <c r="AR23" s="5"/>
    </row>
    <row r="24" spans="1:44" x14ac:dyDescent="0.3">
      <c r="B24" s="61" t="s">
        <v>64</v>
      </c>
      <c r="C24" s="24" t="s">
        <v>62</v>
      </c>
      <c r="D24" s="24" t="s">
        <v>46</v>
      </c>
      <c r="E24" s="25">
        <f>52*2</f>
        <v>104</v>
      </c>
      <c r="F24" s="24">
        <f t="shared" si="0"/>
        <v>52</v>
      </c>
      <c r="G24" s="24">
        <f t="shared" si="1"/>
        <v>104</v>
      </c>
      <c r="H24" s="24">
        <f>_xlfn.XLOOKUP(B24,'[1]Baseline 2025'!$B:$B,'[1]Baseline 2025'!$C:$C)</f>
        <v>8886</v>
      </c>
      <c r="I24" s="24">
        <f t="shared" si="2"/>
        <v>924144</v>
      </c>
      <c r="J24" s="24" t="str">
        <f>_xlfn.XLOOKUP(B24,'[1]Baseline 2025'!$B:$B,'[1]Baseline 2025'!$E:$E)</f>
        <v>Long Haul</v>
      </c>
      <c r="K24" s="24">
        <f>_xlfn.XLOOKUP(B24,'[1]Baseline 2025'!$B:$B,'[1]Baseline 2025'!$I:$I)/100</f>
        <v>68571.484799999991</v>
      </c>
      <c r="L24" s="24">
        <f t="shared" si="10"/>
        <v>4457146.5120000001</v>
      </c>
      <c r="M24" s="24">
        <f t="shared" si="3"/>
        <v>1.3</v>
      </c>
      <c r="N24" s="24">
        <f t="shared" si="4"/>
        <v>5794.290465600001</v>
      </c>
      <c r="O24" s="28">
        <f t="shared" si="5"/>
        <v>8.9999999999999993E-3</v>
      </c>
      <c r="P24" s="106">
        <f t="shared" si="11"/>
        <v>40.114318608000005</v>
      </c>
      <c r="Q24" s="106">
        <f t="shared" si="12"/>
        <v>2.9999999999999997E-5</v>
      </c>
      <c r="R24" s="106">
        <f t="shared" si="13"/>
        <v>0.13371439535999999</v>
      </c>
      <c r="S24">
        <v>300</v>
      </c>
      <c r="T24">
        <f>G24*S24*assumptions!$D$6</f>
        <v>26520</v>
      </c>
      <c r="U24">
        <v>20</v>
      </c>
      <c r="V24" s="57">
        <v>0.45833333333333331</v>
      </c>
      <c r="W24" s="48">
        <v>65934.12</v>
      </c>
      <c r="X24" s="48">
        <f t="shared" si="6"/>
        <v>42857.178</v>
      </c>
      <c r="Y24" s="51">
        <f>X24*assumptions!$D$8</f>
        <v>55714.331400000003</v>
      </c>
      <c r="Z24" s="20">
        <f t="shared" si="7"/>
        <v>275.64125166666662</v>
      </c>
      <c r="AA24" s="51">
        <f>Z24*assumptions!$C$11</f>
        <v>26185.918908333329</v>
      </c>
      <c r="AB24">
        <v>3</v>
      </c>
      <c r="AC24">
        <v>12</v>
      </c>
      <c r="AD24" s="60">
        <v>963</v>
      </c>
      <c r="AE24" s="49">
        <v>3.5</v>
      </c>
      <c r="AF24" s="51">
        <v>13457</v>
      </c>
      <c r="AG24" s="51">
        <v>11550</v>
      </c>
      <c r="AH24" s="51">
        <v>26604</v>
      </c>
      <c r="AI24" s="51">
        <v>88000</v>
      </c>
      <c r="AJ24" s="51">
        <v>22000</v>
      </c>
      <c r="AK24" s="51">
        <v>20625</v>
      </c>
      <c r="AL24" s="51">
        <v>7650</v>
      </c>
      <c r="AM24" s="51">
        <v>19990</v>
      </c>
      <c r="AN24" s="104">
        <f t="shared" si="8"/>
        <v>291776.25030833331</v>
      </c>
      <c r="AO24" s="51">
        <v>245565</v>
      </c>
      <c r="AP24" s="51">
        <v>70000</v>
      </c>
      <c r="AQ24" s="58">
        <f t="shared" si="9"/>
        <v>315565</v>
      </c>
      <c r="AR24" s="5"/>
    </row>
    <row r="25" spans="1:44" x14ac:dyDescent="0.3">
      <c r="B25" s="61" t="s">
        <v>65</v>
      </c>
      <c r="C25" s="24" t="s">
        <v>62</v>
      </c>
      <c r="D25" s="24" t="s">
        <v>46</v>
      </c>
      <c r="E25" s="25">
        <f>156*2</f>
        <v>312</v>
      </c>
      <c r="F25" s="24">
        <f t="shared" si="0"/>
        <v>156</v>
      </c>
      <c r="G25" s="24">
        <f t="shared" si="1"/>
        <v>312</v>
      </c>
      <c r="H25" s="24">
        <f>_xlfn.XLOOKUP(B25,'[1]Baseline 2025'!$B:$B,'[1]Baseline 2025'!$C:$C)</f>
        <v>8818</v>
      </c>
      <c r="I25" s="24">
        <f t="shared" si="2"/>
        <v>2751216</v>
      </c>
      <c r="J25" s="24" t="str">
        <f>_xlfn.XLOOKUP(B25,'[1]Baseline 2025'!$B:$B,'[1]Baseline 2025'!$E:$E)</f>
        <v>Long Haul</v>
      </c>
      <c r="K25" s="24">
        <f>_xlfn.XLOOKUP(B25,'[1]Baseline 2025'!$B:$B,'[1]Baseline 2025'!$I:$I)/100</f>
        <v>204140.22719999999</v>
      </c>
      <c r="L25" s="24">
        <f t="shared" si="10"/>
        <v>13269114.767999999</v>
      </c>
      <c r="M25" s="24">
        <f t="shared" si="3"/>
        <v>1.3</v>
      </c>
      <c r="N25" s="24">
        <f t="shared" si="4"/>
        <v>17249.849198399999</v>
      </c>
      <c r="O25" s="28">
        <f t="shared" si="5"/>
        <v>8.9999999999999993E-3</v>
      </c>
      <c r="P25" s="106">
        <f t="shared" si="11"/>
        <v>119.42203291199998</v>
      </c>
      <c r="Q25" s="106">
        <f t="shared" si="12"/>
        <v>2.9999999999999997E-5</v>
      </c>
      <c r="R25" s="106">
        <f t="shared" si="13"/>
        <v>0.39807344303999992</v>
      </c>
      <c r="S25">
        <v>300</v>
      </c>
      <c r="T25">
        <f>G25*S25*assumptions!$D$6</f>
        <v>79560</v>
      </c>
      <c r="U25">
        <v>20</v>
      </c>
      <c r="V25" s="57">
        <v>0.46527777777777779</v>
      </c>
      <c r="W25" s="48">
        <v>65429.56</v>
      </c>
      <c r="X25" s="48">
        <f t="shared" si="6"/>
        <v>42529.214</v>
      </c>
      <c r="Y25" s="51">
        <f>X25*assumptions!$D$8</f>
        <v>55287.978200000005</v>
      </c>
      <c r="Z25" s="20">
        <f t="shared" si="7"/>
        <v>273.53191055555556</v>
      </c>
      <c r="AA25" s="51">
        <f>Z25*assumptions!$C$11</f>
        <v>25985.531502777776</v>
      </c>
      <c r="AB25">
        <v>3</v>
      </c>
      <c r="AC25">
        <v>12</v>
      </c>
      <c r="AD25" s="58">
        <v>969</v>
      </c>
      <c r="AE25" s="49">
        <v>3.5</v>
      </c>
      <c r="AF25" s="51">
        <v>13354</v>
      </c>
      <c r="AG25" s="51">
        <v>11728.5</v>
      </c>
      <c r="AH25" s="51">
        <v>26502</v>
      </c>
      <c r="AI25" s="51">
        <v>89360</v>
      </c>
      <c r="AJ25" s="51">
        <v>22340</v>
      </c>
      <c r="AK25" s="51">
        <v>20944</v>
      </c>
      <c r="AL25" s="51">
        <v>7650</v>
      </c>
      <c r="AM25" s="51">
        <v>20084</v>
      </c>
      <c r="AN25" s="104">
        <f t="shared" si="8"/>
        <v>293236.00970277778</v>
      </c>
      <c r="AO25" s="51">
        <v>247095</v>
      </c>
      <c r="AP25" s="51">
        <v>70000</v>
      </c>
      <c r="AQ25" s="58">
        <f t="shared" si="9"/>
        <v>317095</v>
      </c>
      <c r="AR25" s="5"/>
    </row>
    <row r="26" spans="1:44" x14ac:dyDescent="0.3">
      <c r="B26" s="61" t="s">
        <v>66</v>
      </c>
      <c r="C26" s="24" t="s">
        <v>62</v>
      </c>
      <c r="D26" s="24" t="s">
        <v>46</v>
      </c>
      <c r="E26" s="25">
        <f>156*2</f>
        <v>312</v>
      </c>
      <c r="F26" s="24">
        <f t="shared" si="0"/>
        <v>156</v>
      </c>
      <c r="G26" s="24">
        <f t="shared" si="1"/>
        <v>312</v>
      </c>
      <c r="H26" s="24">
        <f>_xlfn.XLOOKUP(B26,'[1]Baseline 2025'!$B:$B,'[1]Baseline 2025'!$C:$C)</f>
        <v>9220</v>
      </c>
      <c r="I26" s="24">
        <f t="shared" si="2"/>
        <v>2876640</v>
      </c>
      <c r="J26" s="24" t="str">
        <f>_xlfn.XLOOKUP(B26,'[1]Baseline 2025'!$B:$B,'[1]Baseline 2025'!$E:$E)</f>
        <v>Long Haul</v>
      </c>
      <c r="K26" s="24">
        <f>_xlfn.XLOOKUP(B26,'[1]Baseline 2025'!$B:$B,'[1]Baseline 2025'!$I:$I)/100</f>
        <v>213446.68799999997</v>
      </c>
      <c r="L26" s="24">
        <f t="shared" si="10"/>
        <v>13874034.719999999</v>
      </c>
      <c r="M26" s="24">
        <f t="shared" si="3"/>
        <v>1.3</v>
      </c>
      <c r="N26" s="24">
        <f t="shared" si="4"/>
        <v>18036.245136000001</v>
      </c>
      <c r="O26" s="28">
        <f t="shared" si="5"/>
        <v>8.9999999999999993E-3</v>
      </c>
      <c r="P26" s="106">
        <f t="shared" si="11"/>
        <v>124.86631247999998</v>
      </c>
      <c r="Q26" s="106">
        <f t="shared" si="12"/>
        <v>2.9999999999999997E-5</v>
      </c>
      <c r="R26" s="106">
        <f t="shared" si="13"/>
        <v>0.4162210415999999</v>
      </c>
      <c r="S26">
        <v>300</v>
      </c>
      <c r="T26">
        <f>G26*S26*assumptions!$D$6</f>
        <v>79560</v>
      </c>
      <c r="U26">
        <v>20</v>
      </c>
      <c r="V26" s="57">
        <v>0.47916666666666669</v>
      </c>
      <c r="W26" s="48">
        <v>68412.399999999994</v>
      </c>
      <c r="X26" s="48">
        <f t="shared" si="6"/>
        <v>44468.06</v>
      </c>
      <c r="Y26" s="51">
        <f>X26*assumptions!$D$8</f>
        <v>57808.477999999996</v>
      </c>
      <c r="Z26" s="20">
        <f t="shared" si="7"/>
        <v>286.00183888888887</v>
      </c>
      <c r="AA26" s="51">
        <f>Z26*assumptions!$C$11</f>
        <v>27170.174694444442</v>
      </c>
      <c r="AB26">
        <v>3</v>
      </c>
      <c r="AC26">
        <v>12</v>
      </c>
      <c r="AD26" s="58">
        <v>1011</v>
      </c>
      <c r="AE26" s="49">
        <v>3.5</v>
      </c>
      <c r="AF26" s="51">
        <v>13963</v>
      </c>
      <c r="AG26" s="51">
        <v>12075</v>
      </c>
      <c r="AH26" s="51">
        <v>27105</v>
      </c>
      <c r="AI26" s="51">
        <v>92000</v>
      </c>
      <c r="AJ26" s="51">
        <v>23000</v>
      </c>
      <c r="AK26" s="51">
        <v>21563</v>
      </c>
      <c r="AL26" s="51">
        <v>7650</v>
      </c>
      <c r="AM26" s="51">
        <v>20766</v>
      </c>
      <c r="AN26" s="104">
        <f t="shared" si="8"/>
        <v>303100.65269444446</v>
      </c>
      <c r="AO26" s="51">
        <v>257805</v>
      </c>
      <c r="AP26" s="51">
        <v>70000</v>
      </c>
      <c r="AQ26" s="58">
        <f t="shared" si="9"/>
        <v>327805</v>
      </c>
      <c r="AR26" s="5"/>
    </row>
    <row r="27" spans="1:44" x14ac:dyDescent="0.3">
      <c r="B27" s="61" t="s">
        <v>67</v>
      </c>
      <c r="C27" s="24" t="s">
        <v>62</v>
      </c>
      <c r="D27" s="24" t="s">
        <v>46</v>
      </c>
      <c r="E27" s="25">
        <f>52*2</f>
        <v>104</v>
      </c>
      <c r="F27" s="24">
        <f t="shared" si="0"/>
        <v>52</v>
      </c>
      <c r="G27" s="24">
        <f t="shared" si="1"/>
        <v>104</v>
      </c>
      <c r="H27" s="24">
        <f>_xlfn.XLOOKUP(B27,'[1]Baseline 2025'!$B:$B,'[1]Baseline 2025'!$C:$C)</f>
        <v>9536</v>
      </c>
      <c r="I27" s="24">
        <f t="shared" si="2"/>
        <v>991744</v>
      </c>
      <c r="J27" s="24" t="str">
        <f>_xlfn.XLOOKUP(B27,'[1]Baseline 2025'!$B:$B,'[1]Baseline 2025'!$E:$E)</f>
        <v>Long Haul</v>
      </c>
      <c r="K27" s="24">
        <f>_xlfn.XLOOKUP(B27,'[1]Baseline 2025'!$B:$B,'[1]Baseline 2025'!$I:$I)/100</f>
        <v>73587.404799999989</v>
      </c>
      <c r="L27" s="24">
        <f t="shared" si="10"/>
        <v>4783181.311999999</v>
      </c>
      <c r="M27" s="24">
        <f t="shared" si="3"/>
        <v>1.3</v>
      </c>
      <c r="N27" s="24">
        <f t="shared" si="4"/>
        <v>6218.1357055999988</v>
      </c>
      <c r="O27" s="28">
        <f t="shared" si="5"/>
        <v>8.9999999999999993E-3</v>
      </c>
      <c r="P27" s="106">
        <f t="shared" si="11"/>
        <v>43.048631807999989</v>
      </c>
      <c r="Q27" s="106">
        <f t="shared" si="12"/>
        <v>2.9999999999999997E-5</v>
      </c>
      <c r="R27" s="106">
        <f t="shared" si="13"/>
        <v>0.14349543935999995</v>
      </c>
      <c r="S27">
        <v>300</v>
      </c>
      <c r="T27">
        <f>G27*S27*assumptions!$D$6</f>
        <v>26520</v>
      </c>
      <c r="U27">
        <v>20</v>
      </c>
      <c r="V27" s="57">
        <v>0.5</v>
      </c>
      <c r="W27" s="48">
        <v>70757.119999999995</v>
      </c>
      <c r="X27" s="48">
        <f t="shared" si="6"/>
        <v>45992.127999999997</v>
      </c>
      <c r="Y27" s="51">
        <f>X27*assumptions!$D$8</f>
        <v>59789.7664</v>
      </c>
      <c r="Z27" s="20">
        <f t="shared" si="7"/>
        <v>295.80407111111111</v>
      </c>
      <c r="AA27" s="51">
        <f>Z27*assumptions!$C$11</f>
        <v>28101.386755555555</v>
      </c>
      <c r="AB27">
        <v>3</v>
      </c>
      <c r="AC27">
        <v>12</v>
      </c>
      <c r="AD27" s="58">
        <v>1058</v>
      </c>
      <c r="AE27" s="49">
        <v>3.5</v>
      </c>
      <c r="AF27" s="51">
        <v>14441</v>
      </c>
      <c r="AG27" s="51">
        <v>12600</v>
      </c>
      <c r="AH27" s="51">
        <v>27579</v>
      </c>
      <c r="AI27" s="51">
        <v>96000</v>
      </c>
      <c r="AJ27" s="51">
        <v>24000</v>
      </c>
      <c r="AK27" s="51">
        <v>22500</v>
      </c>
      <c r="AL27" s="51">
        <v>7650</v>
      </c>
      <c r="AM27" s="51">
        <v>21523</v>
      </c>
      <c r="AN27" s="104">
        <f t="shared" si="8"/>
        <v>314184.15315555554</v>
      </c>
      <c r="AO27" s="51">
        <v>269790</v>
      </c>
      <c r="AP27" s="51">
        <v>70000</v>
      </c>
      <c r="AQ27" s="58">
        <f t="shared" si="9"/>
        <v>339790</v>
      </c>
      <c r="AR27" s="5"/>
    </row>
    <row r="28" spans="1:44" x14ac:dyDescent="0.3">
      <c r="B28" s="61" t="s">
        <v>68</v>
      </c>
      <c r="C28" s="24" t="s">
        <v>62</v>
      </c>
      <c r="D28" s="24" t="s">
        <v>46</v>
      </c>
      <c r="E28" s="25">
        <f>156*2</f>
        <v>312</v>
      </c>
      <c r="F28" s="24">
        <f t="shared" si="0"/>
        <v>156</v>
      </c>
      <c r="G28" s="24">
        <f t="shared" si="1"/>
        <v>312</v>
      </c>
      <c r="H28" s="24">
        <f>_xlfn.XLOOKUP(B28,'[1]Baseline 2025'!$B:$B,'[1]Baseline 2025'!$C:$C)</f>
        <v>9652</v>
      </c>
      <c r="I28" s="24">
        <f t="shared" si="2"/>
        <v>3011424</v>
      </c>
      <c r="J28" s="24" t="str">
        <f>_xlfn.XLOOKUP(B28,'[1]Baseline 2025'!$B:$B,'[1]Baseline 2025'!$E:$E)</f>
        <v>Long Haul</v>
      </c>
      <c r="K28" s="24">
        <f>_xlfn.XLOOKUP(B28,'[1]Baseline 2025'!$B:$B,'[1]Baseline 2025'!$I:$I)/100</f>
        <v>223447.66079999998</v>
      </c>
      <c r="L28" s="24">
        <f t="shared" si="10"/>
        <v>14524097.952</v>
      </c>
      <c r="M28" s="24">
        <f t="shared" si="3"/>
        <v>1.3</v>
      </c>
      <c r="N28" s="24">
        <f t="shared" si="4"/>
        <v>18881.3273376</v>
      </c>
      <c r="O28" s="28">
        <f t="shared" si="5"/>
        <v>8.9999999999999993E-3</v>
      </c>
      <c r="P28" s="106">
        <f t="shared" si="11"/>
        <v>130.71688156799999</v>
      </c>
      <c r="Q28" s="106">
        <f t="shared" si="12"/>
        <v>2.9999999999999997E-5</v>
      </c>
      <c r="R28" s="106">
        <f t="shared" si="13"/>
        <v>0.43572293855999994</v>
      </c>
      <c r="S28">
        <v>300</v>
      </c>
      <c r="T28">
        <f>G28*S28*assumptions!$D$6</f>
        <v>79560</v>
      </c>
      <c r="U28">
        <v>20</v>
      </c>
      <c r="V28" s="57">
        <v>0.47222222222222221</v>
      </c>
      <c r="W28" s="48">
        <v>71617.84</v>
      </c>
      <c r="X28" s="48">
        <f t="shared" si="6"/>
        <v>46551.595999999998</v>
      </c>
      <c r="Y28" s="51">
        <f>X28*assumptions!$D$8</f>
        <v>60517.074800000002</v>
      </c>
      <c r="Z28" s="20">
        <f t="shared" si="7"/>
        <v>299.40235888888884</v>
      </c>
      <c r="AA28" s="51">
        <f>Z28*assumptions!$C$11</f>
        <v>28443.224094444438</v>
      </c>
      <c r="AB28">
        <v>3</v>
      </c>
      <c r="AC28">
        <v>12</v>
      </c>
      <c r="AD28" s="51">
        <v>1026</v>
      </c>
      <c r="AE28" s="49">
        <v>3.5</v>
      </c>
      <c r="AF28" s="51">
        <v>14617</v>
      </c>
      <c r="AG28" s="51">
        <v>11896.5</v>
      </c>
      <c r="AH28" s="51">
        <v>27753</v>
      </c>
      <c r="AI28" s="51">
        <v>90640</v>
      </c>
      <c r="AJ28" s="51">
        <v>22660</v>
      </c>
      <c r="AK28" s="51">
        <v>21244</v>
      </c>
      <c r="AL28" s="51">
        <v>7650</v>
      </c>
      <c r="AM28" s="51">
        <v>21014</v>
      </c>
      <c r="AN28" s="50">
        <f t="shared" si="8"/>
        <v>306434.79889444442</v>
      </c>
      <c r="AO28" s="51">
        <v>261630</v>
      </c>
      <c r="AP28" s="51">
        <v>70000</v>
      </c>
      <c r="AQ28" s="51">
        <f t="shared" si="9"/>
        <v>331630</v>
      </c>
      <c r="AR28" s="66"/>
    </row>
    <row r="29" spans="1:44" x14ac:dyDescent="0.3">
      <c r="N29" s="26">
        <f>SUM(N7:N28)</f>
        <v>138904.45059399999</v>
      </c>
      <c r="O29" s="26"/>
      <c r="P29" s="108">
        <f>SUM(P7:P28)</f>
        <v>961.6461964199998</v>
      </c>
      <c r="Q29" s="26"/>
      <c r="R29" s="108">
        <f>SUM(R7:R28)</f>
        <v>3.2054873214000001</v>
      </c>
    </row>
    <row r="32" spans="1:44" x14ac:dyDescent="0.3">
      <c r="A32" t="s">
        <v>69</v>
      </c>
      <c r="D32" t="s">
        <v>88</v>
      </c>
      <c r="G32" t="s">
        <v>70</v>
      </c>
      <c r="I32" t="s">
        <v>71</v>
      </c>
    </row>
    <row r="33" spans="1:9" x14ac:dyDescent="0.3">
      <c r="A33">
        <f t="shared" ref="A33:A54" si="15">(E7*X7)/1000</f>
        <v>2801.2067720000005</v>
      </c>
      <c r="D33">
        <f t="shared" ref="D33:D54" si="16">E7*Z7</f>
        <v>18016.308512222218</v>
      </c>
      <c r="G33" s="89">
        <f t="shared" ref="G33:G54" si="17">E7*AN7</f>
        <v>37109206.112261109</v>
      </c>
      <c r="I33" s="51">
        <f t="shared" ref="I33:I54" si="18">E7*AQ7</f>
        <v>39530400</v>
      </c>
    </row>
    <row r="34" spans="1:9" x14ac:dyDescent="0.3">
      <c r="A34">
        <f t="shared" si="15"/>
        <v>2005.8238200000003</v>
      </c>
      <c r="D34">
        <f t="shared" si="16"/>
        <v>12900.704483333333</v>
      </c>
      <c r="G34" s="89">
        <f t="shared" si="17"/>
        <v>28878521.891916666</v>
      </c>
      <c r="I34" s="51">
        <f t="shared" si="18"/>
        <v>31056698.400000002</v>
      </c>
    </row>
    <row r="35" spans="1:9" x14ac:dyDescent="0.3">
      <c r="A35">
        <f t="shared" si="15"/>
        <v>2155.1752040000006</v>
      </c>
      <c r="D35">
        <f t="shared" si="16"/>
        <v>13861.276418888889</v>
      </c>
      <c r="G35" s="89">
        <f t="shared" si="17"/>
        <v>32186953.024994448</v>
      </c>
      <c r="I35" s="51">
        <f t="shared" si="18"/>
        <v>34679008</v>
      </c>
    </row>
    <row r="36" spans="1:9" x14ac:dyDescent="0.3">
      <c r="A36">
        <f t="shared" si="15"/>
        <v>274.38975200000004</v>
      </c>
      <c r="D36">
        <f t="shared" si="16"/>
        <v>1764.7716955555554</v>
      </c>
      <c r="G36" s="89">
        <f t="shared" si="17"/>
        <v>12071167.988677779</v>
      </c>
      <c r="I36" s="51">
        <f t="shared" si="18"/>
        <v>30650620</v>
      </c>
    </row>
    <row r="37" spans="1:9" x14ac:dyDescent="0.3">
      <c r="A37">
        <f t="shared" si="15"/>
        <v>974.25728400000003</v>
      </c>
      <c r="D37">
        <f t="shared" si="16"/>
        <v>6266.0564633333324</v>
      </c>
      <c r="G37" s="89">
        <f t="shared" si="17"/>
        <v>19922397.833216667</v>
      </c>
      <c r="I37" s="51">
        <f t="shared" si="18"/>
        <v>31238480</v>
      </c>
    </row>
    <row r="38" spans="1:9" x14ac:dyDescent="0.3">
      <c r="A38">
        <f t="shared" si="15"/>
        <v>346.46047800000002</v>
      </c>
      <c r="D38">
        <f t="shared" si="16"/>
        <v>2228.3035016666668</v>
      </c>
      <c r="G38" s="89">
        <f t="shared" si="17"/>
        <v>9528945.4540583324</v>
      </c>
      <c r="I38" s="51">
        <f t="shared" si="18"/>
        <v>15433600</v>
      </c>
    </row>
    <row r="39" spans="1:9" x14ac:dyDescent="0.3">
      <c r="A39">
        <f t="shared" si="15"/>
        <v>653.84646599999985</v>
      </c>
      <c r="D39">
        <f t="shared" si="16"/>
        <v>4205.2945783333325</v>
      </c>
      <c r="G39" s="89">
        <f t="shared" si="17"/>
        <v>11898687.390741667</v>
      </c>
      <c r="I39" s="51">
        <f t="shared" si="18"/>
        <v>15804880</v>
      </c>
    </row>
    <row r="40" spans="1:9" x14ac:dyDescent="0.3">
      <c r="A40">
        <f t="shared" si="15"/>
        <v>1710.5943399999999</v>
      </c>
      <c r="D40">
        <f t="shared" si="16"/>
        <v>11001.899494444442</v>
      </c>
      <c r="G40" s="89">
        <f t="shared" si="17"/>
        <v>20931325.093972225</v>
      </c>
      <c r="I40" s="51">
        <f t="shared" si="18"/>
        <v>22395100</v>
      </c>
    </row>
    <row r="41" spans="1:9" x14ac:dyDescent="0.3">
      <c r="A41">
        <f t="shared" si="15"/>
        <v>1604.6590560000002</v>
      </c>
      <c r="D41">
        <f t="shared" si="16"/>
        <v>10320.563586666665</v>
      </c>
      <c r="G41" s="89">
        <f t="shared" si="17"/>
        <v>21326206.313533336</v>
      </c>
      <c r="I41" s="51">
        <f t="shared" si="18"/>
        <v>22766380</v>
      </c>
    </row>
    <row r="42" spans="1:9" x14ac:dyDescent="0.3">
      <c r="A42">
        <f t="shared" si="15"/>
        <v>577.43412999999987</v>
      </c>
      <c r="D42">
        <f t="shared" si="16"/>
        <v>3713.839169444444</v>
      </c>
      <c r="G42" s="89">
        <f t="shared" si="17"/>
        <v>10627539.090097224</v>
      </c>
      <c r="I42" s="51">
        <f t="shared" si="18"/>
        <v>15756923</v>
      </c>
    </row>
    <row r="43" spans="1:9" x14ac:dyDescent="0.3">
      <c r="A43">
        <f t="shared" si="15"/>
        <v>834.4574419999999</v>
      </c>
      <c r="D43">
        <f t="shared" si="16"/>
        <v>5366.9164538888881</v>
      </c>
      <c r="G43" s="89">
        <f t="shared" si="17"/>
        <v>12842069.737719445</v>
      </c>
      <c r="I43" s="51">
        <f t="shared" si="18"/>
        <v>15897700</v>
      </c>
    </row>
    <row r="44" spans="1:9" x14ac:dyDescent="0.3">
      <c r="A44">
        <f t="shared" si="15"/>
        <v>1238.2271720000001</v>
      </c>
      <c r="D44">
        <f t="shared" si="16"/>
        <v>7963.8115122222207</v>
      </c>
      <c r="G44" s="89">
        <f t="shared" si="17"/>
        <v>16975761.417261109</v>
      </c>
      <c r="I44" s="51">
        <f t="shared" si="18"/>
        <v>18125380</v>
      </c>
    </row>
    <row r="45" spans="1:9" x14ac:dyDescent="0.3">
      <c r="A45">
        <f t="shared" si="15"/>
        <v>835.32576400000005</v>
      </c>
      <c r="D45">
        <f t="shared" si="16"/>
        <v>5372.5011744444437</v>
      </c>
      <c r="G45" s="89">
        <f t="shared" si="17"/>
        <v>12844821.104772221</v>
      </c>
      <c r="I45" s="51">
        <f t="shared" si="18"/>
        <v>15990520</v>
      </c>
    </row>
    <row r="46" spans="1:9" x14ac:dyDescent="0.3">
      <c r="A46">
        <f t="shared" si="15"/>
        <v>959.49580999999989</v>
      </c>
      <c r="D46">
        <f t="shared" si="16"/>
        <v>6171.1162138888885</v>
      </c>
      <c r="G46" s="89">
        <f t="shared" si="17"/>
        <v>13960260.593319444</v>
      </c>
      <c r="I46" s="51">
        <f t="shared" si="18"/>
        <v>16183895</v>
      </c>
    </row>
    <row r="47" spans="1:9" x14ac:dyDescent="0.3">
      <c r="A47">
        <f t="shared" si="15"/>
        <v>2094.392664</v>
      </c>
      <c r="D47">
        <f t="shared" si="16"/>
        <v>13470.34598</v>
      </c>
      <c r="G47" s="89">
        <f t="shared" si="17"/>
        <v>41849657.331300005</v>
      </c>
      <c r="I47" s="51">
        <f t="shared" si="18"/>
        <v>62353200</v>
      </c>
    </row>
    <row r="48" spans="1:9" x14ac:dyDescent="0.3">
      <c r="A48">
        <f t="shared" si="15"/>
        <v>13869.520392</v>
      </c>
      <c r="D48">
        <f t="shared" si="16"/>
        <v>89203.539273333328</v>
      </c>
      <c r="G48" s="89">
        <f t="shared" si="17"/>
        <v>93475044.740566671</v>
      </c>
      <c r="I48" s="51">
        <f t="shared" si="18"/>
        <v>101161320</v>
      </c>
    </row>
    <row r="49" spans="1:9" x14ac:dyDescent="0.3">
      <c r="A49">
        <f t="shared" si="15"/>
        <v>13971.845160000001</v>
      </c>
      <c r="D49">
        <f t="shared" si="16"/>
        <v>89861.653699999981</v>
      </c>
      <c r="G49" s="89">
        <f t="shared" si="17"/>
        <v>93754515.809500009</v>
      </c>
      <c r="I49" s="51">
        <f t="shared" si="18"/>
        <v>101400000</v>
      </c>
    </row>
    <row r="50" spans="1:9" x14ac:dyDescent="0.3">
      <c r="A50">
        <f t="shared" si="15"/>
        <v>4457.1465120000003</v>
      </c>
      <c r="D50">
        <f t="shared" si="16"/>
        <v>28666.690173333329</v>
      </c>
      <c r="G50" s="89">
        <f t="shared" si="17"/>
        <v>30344730.032066666</v>
      </c>
      <c r="I50" s="51">
        <f t="shared" si="18"/>
        <v>32818760</v>
      </c>
    </row>
    <row r="51" spans="1:9" x14ac:dyDescent="0.3">
      <c r="A51">
        <f t="shared" si="15"/>
        <v>13269.114767999999</v>
      </c>
      <c r="D51">
        <f t="shared" si="16"/>
        <v>85341.956093333327</v>
      </c>
      <c r="G51" s="89">
        <f t="shared" si="17"/>
        <v>91489635.027266666</v>
      </c>
      <c r="I51" s="51">
        <f t="shared" si="18"/>
        <v>98933640</v>
      </c>
    </row>
    <row r="52" spans="1:9" x14ac:dyDescent="0.3">
      <c r="A52">
        <f t="shared" si="15"/>
        <v>13874.03472</v>
      </c>
      <c r="D52">
        <f t="shared" si="16"/>
        <v>89232.573733333324</v>
      </c>
      <c r="G52" s="89">
        <f t="shared" si="17"/>
        <v>94567403.640666679</v>
      </c>
      <c r="I52" s="51">
        <f t="shared" si="18"/>
        <v>102275160</v>
      </c>
    </row>
    <row r="53" spans="1:9" x14ac:dyDescent="0.3">
      <c r="A53">
        <f t="shared" si="15"/>
        <v>4783.1813119999997</v>
      </c>
      <c r="D53">
        <f t="shared" si="16"/>
        <v>30763.623395555554</v>
      </c>
      <c r="G53" s="89">
        <f t="shared" si="17"/>
        <v>32675151.928177778</v>
      </c>
      <c r="I53" s="51">
        <f t="shared" si="18"/>
        <v>35338160</v>
      </c>
    </row>
    <row r="54" spans="1:9" x14ac:dyDescent="0.3">
      <c r="A54">
        <f t="shared" si="15"/>
        <v>14524.097952</v>
      </c>
      <c r="D54">
        <f t="shared" si="16"/>
        <v>93413.535973333317</v>
      </c>
      <c r="G54" s="89">
        <f t="shared" si="17"/>
        <v>95607657.255066663</v>
      </c>
      <c r="I54" s="51">
        <f t="shared" si="18"/>
        <v>103468560</v>
      </c>
    </row>
    <row r="56" spans="1:9" x14ac:dyDescent="0.3">
      <c r="A56" t="s">
        <v>72</v>
      </c>
      <c r="D56" t="s">
        <v>72</v>
      </c>
      <c r="G56" t="s">
        <v>72</v>
      </c>
      <c r="I56" t="s">
        <v>72</v>
      </c>
    </row>
    <row r="57" spans="1:9" x14ac:dyDescent="0.3">
      <c r="A57">
        <f>SUM(A33:A54)</f>
        <v>97814.686969999995</v>
      </c>
      <c r="D57">
        <f>SUM(D33:D54)</f>
        <v>629107.28158055549</v>
      </c>
      <c r="G57" s="89">
        <f>SUM(G33:G54)</f>
        <v>834867658.81115282</v>
      </c>
      <c r="I57" s="51">
        <f>SUM(I33:I54)</f>
        <v>963258384.39999998</v>
      </c>
    </row>
  </sheetData>
  <mergeCells count="1">
    <mergeCell ref="A4:N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6F7DB-6A67-4469-B206-1BE95C4587C6}">
  <sheetPr>
    <tabColor rgb="FFC00000"/>
  </sheetPr>
  <dimension ref="A4:AW58"/>
  <sheetViews>
    <sheetView topLeftCell="D6" zoomScale="81" zoomScaleNormal="80" workbookViewId="0">
      <selection activeCell="R30" sqref="R30"/>
    </sheetView>
  </sheetViews>
  <sheetFormatPr defaultRowHeight="14.4" x14ac:dyDescent="0.3"/>
  <cols>
    <col min="12" max="12" width="11" bestFit="1" customWidth="1"/>
    <col min="13" max="14" width="9" bestFit="1" customWidth="1"/>
    <col min="15" max="18" width="9" customWidth="1"/>
    <col min="19" max="19" width="9" bestFit="1" customWidth="1"/>
    <col min="20" max="20" width="9" customWidth="1"/>
    <col min="21" max="22" width="9" bestFit="1" customWidth="1"/>
    <col min="23" max="23" width="7.88671875" bestFit="1" customWidth="1"/>
    <col min="24" max="24" width="15.109375" bestFit="1" customWidth="1"/>
    <col min="25" max="25" width="15.109375" customWidth="1"/>
    <col min="26" max="27" width="12.5546875" bestFit="1" customWidth="1"/>
    <col min="28" max="28" width="10.44140625" bestFit="1" customWidth="1"/>
    <col min="29" max="29" width="9" bestFit="1" customWidth="1"/>
    <col min="30" max="31" width="14.109375" bestFit="1" customWidth="1"/>
    <col min="32" max="32" width="15.109375" bestFit="1" customWidth="1"/>
    <col min="33" max="33" width="14.109375" bestFit="1" customWidth="1"/>
    <col min="34" max="34" width="11.44140625" bestFit="1" customWidth="1"/>
    <col min="35" max="35" width="14.109375" bestFit="1" customWidth="1"/>
    <col min="36" max="36" width="12.33203125" bestFit="1" customWidth="1"/>
    <col min="37" max="37" width="13.88671875" bestFit="1" customWidth="1"/>
    <col min="38" max="38" width="12.33203125" bestFit="1" customWidth="1"/>
    <col min="39" max="39" width="12.44140625" bestFit="1" customWidth="1"/>
    <col min="40" max="40" width="10.5546875" bestFit="1" customWidth="1"/>
  </cols>
  <sheetData>
    <row r="4" spans="1:49" ht="25.8" x14ac:dyDescent="0.5">
      <c r="A4" s="113" t="s">
        <v>89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4"/>
      <c r="AQ4" s="64"/>
      <c r="AR4" s="64"/>
      <c r="AS4" s="64"/>
      <c r="AT4" s="64"/>
      <c r="AU4" s="64"/>
      <c r="AV4" s="64"/>
      <c r="AW4" s="64"/>
    </row>
    <row r="5" spans="1:49" ht="25.8" x14ac:dyDescent="0.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44"/>
      <c r="T5" s="44"/>
      <c r="U5" s="44"/>
      <c r="V5" s="44"/>
      <c r="W5" s="44"/>
      <c r="X5" s="44"/>
      <c r="Y5" s="44"/>
      <c r="Z5" s="38" t="s">
        <v>1</v>
      </c>
      <c r="AA5" s="22"/>
      <c r="AB5" s="45"/>
      <c r="AC5" s="45"/>
      <c r="AD5" s="36"/>
      <c r="AE5" s="36"/>
      <c r="AF5" s="36"/>
      <c r="AG5" s="37" t="s">
        <v>2</v>
      </c>
      <c r="AH5" s="36"/>
      <c r="AI5" s="36"/>
      <c r="AJ5" s="36"/>
      <c r="AK5" s="36"/>
      <c r="AL5" s="39"/>
      <c r="AM5" s="40" t="s">
        <v>75</v>
      </c>
      <c r="AN5" s="39"/>
    </row>
    <row r="6" spans="1:49" ht="169.8" x14ac:dyDescent="0.3">
      <c r="B6" s="21" t="s">
        <v>4</v>
      </c>
      <c r="C6" s="21" t="s">
        <v>5</v>
      </c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1" t="s">
        <v>18</v>
      </c>
      <c r="Q6" s="21" t="s">
        <v>19</v>
      </c>
      <c r="R6" s="21" t="s">
        <v>20</v>
      </c>
      <c r="S6" s="30" t="s">
        <v>21</v>
      </c>
      <c r="T6" s="30" t="s">
        <v>22</v>
      </c>
      <c r="U6" s="30" t="s">
        <v>23</v>
      </c>
      <c r="V6" s="30" t="s">
        <v>24</v>
      </c>
      <c r="W6" s="30" t="s">
        <v>25</v>
      </c>
      <c r="X6" s="30" t="s">
        <v>89</v>
      </c>
      <c r="Y6" s="30" t="s">
        <v>90</v>
      </c>
      <c r="Z6" s="32" t="s">
        <v>31</v>
      </c>
      <c r="AA6" s="32" t="s">
        <v>32</v>
      </c>
      <c r="AB6" s="33" t="s">
        <v>30</v>
      </c>
      <c r="AC6" s="33" t="s">
        <v>33</v>
      </c>
      <c r="AD6" s="31" t="s">
        <v>1</v>
      </c>
      <c r="AE6" s="31" t="s">
        <v>34</v>
      </c>
      <c r="AF6" s="31" t="s">
        <v>35</v>
      </c>
      <c r="AG6" s="31" t="s">
        <v>36</v>
      </c>
      <c r="AH6" s="31" t="s">
        <v>37</v>
      </c>
      <c r="AI6" s="31" t="s">
        <v>38</v>
      </c>
      <c r="AJ6" s="31" t="s">
        <v>39</v>
      </c>
      <c r="AK6" s="31" t="s">
        <v>40</v>
      </c>
      <c r="AL6" s="31" t="s">
        <v>77</v>
      </c>
      <c r="AM6" s="31" t="s">
        <v>78</v>
      </c>
      <c r="AN6" s="31" t="s">
        <v>79</v>
      </c>
      <c r="AO6" s="31" t="s">
        <v>80</v>
      </c>
    </row>
    <row r="7" spans="1:49" x14ac:dyDescent="0.3">
      <c r="B7" s="27" t="s">
        <v>44</v>
      </c>
      <c r="C7" s="28" t="s">
        <v>45</v>
      </c>
      <c r="D7" s="28" t="s">
        <v>46</v>
      </c>
      <c r="E7" s="29">
        <f>7*52*2</f>
        <v>728</v>
      </c>
      <c r="F7" s="28">
        <f t="shared" ref="F7:F28" si="0">E7/2</f>
        <v>364</v>
      </c>
      <c r="G7" s="28">
        <f t="shared" ref="G7:G28" si="1">E7</f>
        <v>728</v>
      </c>
      <c r="H7" s="28">
        <f>_xlfn.XLOOKUP(B7,'[1]Baseline 2025'!$B:$B,'[1]Baseline 2025'!$C:$C)</f>
        <v>1613</v>
      </c>
      <c r="I7" s="28">
        <f t="shared" ref="I7:I28" si="2">E7*H7</f>
        <v>1174264</v>
      </c>
      <c r="J7" s="28" t="str">
        <f>_xlfn.XLOOKUP(B7,'[1]Baseline 2025'!$B:$B,'[1]Baseline 2025'!$E:$E)</f>
        <v>Short Haul</v>
      </c>
      <c r="K7" s="28">
        <f>_xlfn.XLOOKUP(B7,'[1]Baseline 2025'!$B:$B,'[1]Baseline 2025'!$I:$I)/100</f>
        <v>43095.488799999999</v>
      </c>
      <c r="L7" s="28">
        <f>(K7*100)*43/120</f>
        <v>1544255.0153333333</v>
      </c>
      <c r="M7" s="28">
        <v>3.97</v>
      </c>
      <c r="N7" s="28">
        <f t="shared" ref="N7:N28" si="3">(L7*M7)/1000</f>
        <v>6130.6924108733328</v>
      </c>
      <c r="O7" s="28">
        <f t="shared" ref="O7:O28" si="4">9/1000</f>
        <v>8.9999999999999993E-3</v>
      </c>
      <c r="P7" s="106">
        <f>(O7*L7)/1000</f>
        <v>13.898295137999998</v>
      </c>
      <c r="Q7" s="106">
        <v>0</v>
      </c>
      <c r="R7" s="106">
        <f>Q7*L7</f>
        <v>0</v>
      </c>
      <c r="S7">
        <v>100</v>
      </c>
      <c r="T7">
        <f>G7*S7*assumptions!$D$6</f>
        <v>61880</v>
      </c>
      <c r="U7">
        <v>10.9</v>
      </c>
      <c r="V7" s="57">
        <v>0.1111111111111111</v>
      </c>
      <c r="W7" s="48">
        <v>5919.71</v>
      </c>
      <c r="X7" s="48">
        <f t="shared" ref="X7:X28" si="5">W7*43/120</f>
        <v>2121.2294166666666</v>
      </c>
      <c r="Y7" s="65">
        <f t="shared" ref="Y7:Y28" si="6">X7*17</f>
        <v>36060.900083333334</v>
      </c>
      <c r="Z7">
        <v>2</v>
      </c>
      <c r="AA7">
        <v>3</v>
      </c>
      <c r="AB7" s="59">
        <v>545</v>
      </c>
      <c r="AC7" s="49">
        <v>3.5</v>
      </c>
      <c r="AD7" s="51">
        <v>1201.5</v>
      </c>
      <c r="AE7" s="51">
        <v>6845</v>
      </c>
      <c r="AF7" s="51">
        <v>21360</v>
      </c>
      <c r="AG7" s="51">
        <v>5340</v>
      </c>
      <c r="AH7" s="51">
        <v>1669</v>
      </c>
      <c r="AI7" s="51">
        <v>2550</v>
      </c>
      <c r="AJ7" s="59">
        <v>5353</v>
      </c>
      <c r="AK7" s="51">
        <f>Y7+AD7+AE7+AF7+AG7+AH7+AI7+AJ7</f>
        <v>80379.400083333341</v>
      </c>
      <c r="AL7" s="59">
        <v>46325</v>
      </c>
      <c r="AM7" s="51">
        <v>38150</v>
      </c>
      <c r="AN7" s="51">
        <f t="shared" ref="AN7:AN28" si="7">AL7+AM7</f>
        <v>84475</v>
      </c>
      <c r="AO7" s="5">
        <f>(AN7/AK7)-1</f>
        <v>5.0953352630407123E-2</v>
      </c>
    </row>
    <row r="8" spans="1:49" x14ac:dyDescent="0.3">
      <c r="B8" s="27" t="s">
        <v>47</v>
      </c>
      <c r="C8" s="28" t="s">
        <v>45</v>
      </c>
      <c r="D8" s="28" t="s">
        <v>46</v>
      </c>
      <c r="E8" s="29">
        <f>7*52*2</f>
        <v>728</v>
      </c>
      <c r="F8" s="28">
        <f t="shared" si="0"/>
        <v>364</v>
      </c>
      <c r="G8" s="28">
        <f t="shared" si="1"/>
        <v>728</v>
      </c>
      <c r="H8" s="28">
        <f>_xlfn.XLOOKUP(B8,'[1]Baseline 2025'!$B:$B,'[1]Baseline 2025'!$C:$C)</f>
        <v>1155</v>
      </c>
      <c r="I8" s="28">
        <f t="shared" si="2"/>
        <v>840840</v>
      </c>
      <c r="J8" s="28" t="str">
        <f>_xlfn.XLOOKUP(B8,'[1]Baseline 2025'!$B:$B,'[1]Baseline 2025'!$E:$E)</f>
        <v>Short Haul</v>
      </c>
      <c r="K8" s="28">
        <f>_xlfn.XLOOKUP(B8,'[1]Baseline 2025'!$B:$B,'[1]Baseline 2025'!$I:$I)/100</f>
        <v>30858.828000000001</v>
      </c>
      <c r="L8" s="28">
        <f t="shared" ref="L8:L28" si="8">(K8*100)*43/120</f>
        <v>1105774.6700000002</v>
      </c>
      <c r="M8" s="28">
        <v>3.97</v>
      </c>
      <c r="N8" s="28">
        <f t="shared" si="3"/>
        <v>4389.9254399000001</v>
      </c>
      <c r="O8" s="28">
        <f t="shared" si="4"/>
        <v>8.9999999999999993E-3</v>
      </c>
      <c r="P8" s="106">
        <f t="shared" ref="P8:P28" si="9">(O8*L8)/1000</f>
        <v>9.9519720300000003</v>
      </c>
      <c r="Q8" s="106">
        <v>0</v>
      </c>
      <c r="R8" s="106">
        <f t="shared" ref="R8:R28" si="10">Q8*L8</f>
        <v>0</v>
      </c>
      <c r="S8">
        <v>100</v>
      </c>
      <c r="T8">
        <f>G8*S8*assumptions!$D$6</f>
        <v>61880</v>
      </c>
      <c r="U8">
        <v>10.9</v>
      </c>
      <c r="V8" s="57">
        <v>8.3333333333333329E-2</v>
      </c>
      <c r="W8" s="48">
        <v>4238.8500000000004</v>
      </c>
      <c r="X8" s="48">
        <f t="shared" si="5"/>
        <v>1518.9212500000001</v>
      </c>
      <c r="Y8" s="65">
        <f t="shared" si="6"/>
        <v>25821.661250000001</v>
      </c>
      <c r="Z8">
        <v>2</v>
      </c>
      <c r="AA8">
        <v>3</v>
      </c>
      <c r="AB8" s="59">
        <v>370</v>
      </c>
      <c r="AC8" s="49">
        <v>3</v>
      </c>
      <c r="AD8" s="51">
        <v>900</v>
      </c>
      <c r="AE8" s="51">
        <v>6158</v>
      </c>
      <c r="AF8" s="51">
        <v>16000</v>
      </c>
      <c r="AG8" s="51">
        <v>4000</v>
      </c>
      <c r="AH8" s="51">
        <v>1250</v>
      </c>
      <c r="AI8" s="51">
        <v>2550</v>
      </c>
      <c r="AJ8" s="59">
        <v>4050</v>
      </c>
      <c r="AK8" s="51">
        <f t="shared" ref="AK8:AK28" si="11">Y8+AD8+AE8+AF8+AG8+AH8+AI8+AJ8</f>
        <v>60729.661250000005</v>
      </c>
      <c r="AL8" s="59">
        <v>31450</v>
      </c>
      <c r="AM8" s="51">
        <v>32700</v>
      </c>
      <c r="AN8" s="51">
        <f t="shared" si="7"/>
        <v>64150</v>
      </c>
      <c r="AO8" s="5">
        <f>(AN8/AK8)-1</f>
        <v>5.6320728283331123E-2</v>
      </c>
    </row>
    <row r="9" spans="1:49" x14ac:dyDescent="0.3">
      <c r="B9" s="27" t="s">
        <v>48</v>
      </c>
      <c r="C9" s="28" t="s">
        <v>45</v>
      </c>
      <c r="D9" s="28" t="s">
        <v>46</v>
      </c>
      <c r="E9" s="29">
        <f>7*52*2</f>
        <v>728</v>
      </c>
      <c r="F9" s="28">
        <f t="shared" si="0"/>
        <v>364</v>
      </c>
      <c r="G9" s="28">
        <f t="shared" si="1"/>
        <v>728</v>
      </c>
      <c r="H9" s="28">
        <f>_xlfn.XLOOKUP(B9,'[1]Baseline 2025'!$B:$B,'[1]Baseline 2025'!$C:$C)</f>
        <v>1241</v>
      </c>
      <c r="I9" s="28">
        <f t="shared" si="2"/>
        <v>903448</v>
      </c>
      <c r="J9" s="28" t="str">
        <f>_xlfn.XLOOKUP(B9,'[1]Baseline 2025'!$B:$B,'[1]Baseline 2025'!$E:$E)</f>
        <v>Short Haul</v>
      </c>
      <c r="K9" s="28">
        <f>_xlfn.XLOOKUP(B9,'[1]Baseline 2025'!$B:$B,'[1]Baseline 2025'!$I:$I)/100</f>
        <v>33156.541600000004</v>
      </c>
      <c r="L9" s="28">
        <f t="shared" si="8"/>
        <v>1188109.4073333335</v>
      </c>
      <c r="M9" s="28">
        <v>3.97</v>
      </c>
      <c r="N9" s="28">
        <f t="shared" si="3"/>
        <v>4716.7943471133349</v>
      </c>
      <c r="O9" s="28">
        <f t="shared" si="4"/>
        <v>8.9999999999999993E-3</v>
      </c>
      <c r="P9" s="106">
        <f t="shared" si="9"/>
        <v>10.692984666000001</v>
      </c>
      <c r="Q9" s="106">
        <v>0</v>
      </c>
      <c r="R9" s="106">
        <f t="shared" si="10"/>
        <v>0</v>
      </c>
      <c r="S9">
        <v>100</v>
      </c>
      <c r="T9">
        <f>G9*S9*assumptions!$D$6</f>
        <v>61880</v>
      </c>
      <c r="U9">
        <v>10.9</v>
      </c>
      <c r="V9" s="57">
        <v>9.7222222222222224E-2</v>
      </c>
      <c r="W9" s="48">
        <v>4554.47</v>
      </c>
      <c r="X9" s="48">
        <f t="shared" si="5"/>
        <v>1632.0184166666668</v>
      </c>
      <c r="Y9" s="65">
        <f t="shared" si="6"/>
        <v>27744.313083333334</v>
      </c>
      <c r="Z9">
        <v>2</v>
      </c>
      <c r="AA9">
        <v>3</v>
      </c>
      <c r="AB9" s="59">
        <v>380</v>
      </c>
      <c r="AC9" s="49">
        <v>3.5</v>
      </c>
      <c r="AD9" s="51">
        <v>1048.5</v>
      </c>
      <c r="AE9" s="51">
        <v>6287</v>
      </c>
      <c r="AF9" s="51">
        <v>18664</v>
      </c>
      <c r="AG9" s="51">
        <v>4666</v>
      </c>
      <c r="AH9" s="51">
        <v>1458</v>
      </c>
      <c r="AI9" s="51">
        <v>2550</v>
      </c>
      <c r="AJ9" s="59">
        <v>4460</v>
      </c>
      <c r="AK9" s="51">
        <f t="shared" si="11"/>
        <v>66877.813083333342</v>
      </c>
      <c r="AL9" s="59">
        <v>32300</v>
      </c>
      <c r="AM9" s="51">
        <v>38150</v>
      </c>
      <c r="AN9" s="51">
        <f t="shared" si="7"/>
        <v>70450</v>
      </c>
      <c r="AO9" s="5">
        <f>(AN9/AK9)-1</f>
        <v>5.3413632294099012E-2</v>
      </c>
    </row>
    <row r="10" spans="1:49" x14ac:dyDescent="0.3">
      <c r="B10" s="27" t="s">
        <v>49</v>
      </c>
      <c r="C10" s="28" t="s">
        <v>45</v>
      </c>
      <c r="D10" s="28" t="s">
        <v>46</v>
      </c>
      <c r="E10" s="29">
        <f>14*52</f>
        <v>728</v>
      </c>
      <c r="F10" s="28">
        <f t="shared" si="0"/>
        <v>364</v>
      </c>
      <c r="G10" s="28">
        <f t="shared" si="1"/>
        <v>728</v>
      </c>
      <c r="H10" s="28">
        <f>_xlfn.XLOOKUP(B10,'[1]Baseline 2025'!$B:$B,'[1]Baseline 2025'!$C:$C)</f>
        <v>158</v>
      </c>
      <c r="I10" s="28">
        <f t="shared" si="2"/>
        <v>115024</v>
      </c>
      <c r="J10" s="28" t="str">
        <f>_xlfn.XLOOKUP(B10,'[1]Baseline 2025'!$B:$B,'[1]Baseline 2025'!$E:$E)</f>
        <v>Short Haul</v>
      </c>
      <c r="K10" s="28">
        <f>_xlfn.XLOOKUP(B10,'[1]Baseline 2025'!$B:$B,'[1]Baseline 2025'!$I:$I)/100</f>
        <v>8442.7615999999998</v>
      </c>
      <c r="L10" s="28">
        <f t="shared" si="8"/>
        <v>302532.2906666667</v>
      </c>
      <c r="M10" s="28">
        <v>3.97</v>
      </c>
      <c r="N10" s="28">
        <f t="shared" si="3"/>
        <v>1201.0531939466669</v>
      </c>
      <c r="O10" s="28">
        <f t="shared" si="4"/>
        <v>8.9999999999999993E-3</v>
      </c>
      <c r="P10" s="106">
        <f t="shared" si="9"/>
        <v>2.7227906160000002</v>
      </c>
      <c r="Q10" s="106">
        <v>0</v>
      </c>
      <c r="R10" s="106">
        <f t="shared" si="10"/>
        <v>0</v>
      </c>
      <c r="S10">
        <v>100</v>
      </c>
      <c r="T10">
        <f>G10*S10*assumptions!$D$6</f>
        <v>61880</v>
      </c>
      <c r="U10">
        <v>10.9</v>
      </c>
      <c r="V10" s="57">
        <v>2.7777777777777776E-2</v>
      </c>
      <c r="W10" s="48">
        <v>579.86</v>
      </c>
      <c r="X10" s="48">
        <f t="shared" si="5"/>
        <v>207.78316666666666</v>
      </c>
      <c r="Y10" s="65">
        <f t="shared" si="6"/>
        <v>3532.3138333333332</v>
      </c>
      <c r="Z10">
        <v>2</v>
      </c>
      <c r="AA10">
        <v>3</v>
      </c>
      <c r="AB10" s="59">
        <v>120</v>
      </c>
      <c r="AC10" s="49">
        <v>3.5</v>
      </c>
      <c r="AD10" s="51">
        <v>297</v>
      </c>
      <c r="AE10" s="51">
        <v>4662</v>
      </c>
      <c r="AF10" s="51">
        <v>5280</v>
      </c>
      <c r="AG10" s="51">
        <v>1320</v>
      </c>
      <c r="AH10" s="51">
        <v>413</v>
      </c>
      <c r="AI10" s="51">
        <v>2550</v>
      </c>
      <c r="AJ10" s="59">
        <v>1290</v>
      </c>
      <c r="AK10" s="51">
        <f t="shared" si="11"/>
        <v>19344.313833333334</v>
      </c>
      <c r="AL10" s="59">
        <v>10200</v>
      </c>
      <c r="AM10" s="51">
        <v>38150</v>
      </c>
      <c r="AN10" s="51">
        <f t="shared" si="7"/>
        <v>48350</v>
      </c>
      <c r="AO10" s="5">
        <v>0.6</v>
      </c>
    </row>
    <row r="11" spans="1:49" x14ac:dyDescent="0.3">
      <c r="B11" s="27" t="s">
        <v>50</v>
      </c>
      <c r="C11" s="28" t="s">
        <v>45</v>
      </c>
      <c r="D11" s="28" t="s">
        <v>46</v>
      </c>
      <c r="E11" s="29">
        <f>7*52*2</f>
        <v>728</v>
      </c>
      <c r="F11" s="28">
        <f t="shared" si="0"/>
        <v>364</v>
      </c>
      <c r="G11" s="28">
        <f t="shared" si="1"/>
        <v>728</v>
      </c>
      <c r="H11" s="28">
        <f>_xlfn.XLOOKUP(B11,'[1]Baseline 2025'!$B:$B,'[1]Baseline 2025'!$C:$C)</f>
        <v>561</v>
      </c>
      <c r="I11" s="28">
        <f t="shared" si="2"/>
        <v>408408</v>
      </c>
      <c r="J11" s="28" t="str">
        <f>_xlfn.XLOOKUP(B11,'[1]Baseline 2025'!$B:$B,'[1]Baseline 2025'!$E:$E)</f>
        <v>Short Haul</v>
      </c>
      <c r="K11" s="28">
        <f>_xlfn.XLOOKUP(B11,'[1]Baseline 2025'!$B:$B,'[1]Baseline 2025'!$I:$I)/100</f>
        <v>14988.573600000002</v>
      </c>
      <c r="L11" s="28">
        <f t="shared" si="8"/>
        <v>537090.554</v>
      </c>
      <c r="M11" s="28">
        <v>3.97</v>
      </c>
      <c r="N11" s="28">
        <f t="shared" si="3"/>
        <v>2132.2494993800001</v>
      </c>
      <c r="O11" s="28">
        <f t="shared" si="4"/>
        <v>8.9999999999999993E-3</v>
      </c>
      <c r="P11" s="106">
        <f t="shared" si="9"/>
        <v>4.8338149859999993</v>
      </c>
      <c r="Q11" s="106">
        <v>0</v>
      </c>
      <c r="R11" s="106">
        <f t="shared" si="10"/>
        <v>0</v>
      </c>
      <c r="S11">
        <v>100</v>
      </c>
      <c r="T11">
        <f>G11*S11*assumptions!$D$6</f>
        <v>61880</v>
      </c>
      <c r="U11">
        <v>10.9</v>
      </c>
      <c r="V11" s="57">
        <v>5.5555555555555552E-2</v>
      </c>
      <c r="W11" s="48">
        <v>2058.87</v>
      </c>
      <c r="X11" s="48">
        <f t="shared" si="5"/>
        <v>737.76174999999989</v>
      </c>
      <c r="Y11" s="65">
        <f t="shared" si="6"/>
        <v>12541.949749999998</v>
      </c>
      <c r="Z11">
        <v>2</v>
      </c>
      <c r="AA11">
        <v>3</v>
      </c>
      <c r="AB11" s="59">
        <v>72</v>
      </c>
      <c r="AC11" s="49">
        <v>3.5</v>
      </c>
      <c r="AD11" s="51">
        <v>598.5</v>
      </c>
      <c r="AE11" s="51">
        <v>5267</v>
      </c>
      <c r="AF11" s="51">
        <v>10640</v>
      </c>
      <c r="AG11" s="51">
        <v>2660</v>
      </c>
      <c r="AH11" s="51">
        <v>831</v>
      </c>
      <c r="AI11" s="51">
        <v>2550</v>
      </c>
      <c r="AJ11" s="59">
        <v>2508</v>
      </c>
      <c r="AK11" s="51">
        <f>Y11+AD11+AE11+AF11+AG11+AH11+AI11+AJ11</f>
        <v>37596.44975</v>
      </c>
      <c r="AL11" s="59">
        <v>6120</v>
      </c>
      <c r="AM11" s="51">
        <v>38150</v>
      </c>
      <c r="AN11" s="51">
        <f t="shared" si="7"/>
        <v>44270</v>
      </c>
      <c r="AO11" s="5">
        <f t="shared" ref="AO11:AO28" si="12">(AN11/AK11)-1</f>
        <v>0.17750479884074699</v>
      </c>
    </row>
    <row r="12" spans="1:49" x14ac:dyDescent="0.3">
      <c r="B12" s="27" t="s">
        <v>51</v>
      </c>
      <c r="C12" s="28" t="s">
        <v>45</v>
      </c>
      <c r="D12" s="28" t="s">
        <v>46</v>
      </c>
      <c r="E12" s="29">
        <f t="shared" ref="E12:E20" si="13">7*52</f>
        <v>364</v>
      </c>
      <c r="F12" s="28">
        <f t="shared" si="0"/>
        <v>182</v>
      </c>
      <c r="G12" s="28">
        <f t="shared" si="1"/>
        <v>364</v>
      </c>
      <c r="H12" s="28">
        <f>_xlfn.XLOOKUP(B12,'[1]Baseline 2025'!$B:$B,'[1]Baseline 2025'!$C:$C)</f>
        <v>399</v>
      </c>
      <c r="I12" s="28">
        <f t="shared" si="2"/>
        <v>145236</v>
      </c>
      <c r="J12" s="28" t="str">
        <f>_xlfn.XLOOKUP(B12,'[1]Baseline 2025'!$B:$B,'[1]Baseline 2025'!$E:$E)</f>
        <v>Short Haul</v>
      </c>
      <c r="K12" s="28">
        <f>_xlfn.XLOOKUP(B12,'[1]Baseline 2025'!$B:$B,'[1]Baseline 2025'!$I:$I)/100</f>
        <v>10660.322399999999</v>
      </c>
      <c r="L12" s="28">
        <f t="shared" si="8"/>
        <v>381994.886</v>
      </c>
      <c r="M12" s="28">
        <v>3.97</v>
      </c>
      <c r="N12" s="28">
        <f t="shared" si="3"/>
        <v>1516.5196974200001</v>
      </c>
      <c r="O12" s="28">
        <f t="shared" si="4"/>
        <v>8.9999999999999993E-3</v>
      </c>
      <c r="P12" s="106">
        <f t="shared" si="9"/>
        <v>3.4379539739999996</v>
      </c>
      <c r="Q12" s="106">
        <v>0</v>
      </c>
      <c r="R12" s="106">
        <f t="shared" si="10"/>
        <v>0</v>
      </c>
      <c r="S12">
        <v>100</v>
      </c>
      <c r="T12">
        <f>G12*S12*assumptions!$D$6</f>
        <v>30940</v>
      </c>
      <c r="U12">
        <v>10.9</v>
      </c>
      <c r="V12" s="57">
        <v>5.5555555555555552E-2</v>
      </c>
      <c r="W12" s="48">
        <v>1464.33</v>
      </c>
      <c r="X12" s="48">
        <f t="shared" si="5"/>
        <v>524.71825000000001</v>
      </c>
      <c r="Y12" s="65">
        <f t="shared" si="6"/>
        <v>8920.2102500000001</v>
      </c>
      <c r="Z12">
        <v>2</v>
      </c>
      <c r="AA12">
        <v>3</v>
      </c>
      <c r="AB12" s="59">
        <v>100</v>
      </c>
      <c r="AC12" s="49">
        <v>3.5</v>
      </c>
      <c r="AD12" s="51">
        <v>598.5</v>
      </c>
      <c r="AE12" s="51">
        <v>5024</v>
      </c>
      <c r="AF12" s="51">
        <v>10640</v>
      </c>
      <c r="AG12" s="51">
        <v>2660</v>
      </c>
      <c r="AH12" s="51">
        <v>831</v>
      </c>
      <c r="AI12" s="51">
        <v>2550</v>
      </c>
      <c r="AJ12" s="59">
        <v>2231</v>
      </c>
      <c r="AK12" s="51">
        <f t="shared" si="11"/>
        <v>33454.710250000004</v>
      </c>
      <c r="AL12" s="59">
        <v>8500</v>
      </c>
      <c r="AM12" s="51">
        <v>38150</v>
      </c>
      <c r="AN12" s="51">
        <f t="shared" si="7"/>
        <v>46650</v>
      </c>
      <c r="AO12" s="5">
        <f t="shared" si="12"/>
        <v>0.39442247896916083</v>
      </c>
    </row>
    <row r="13" spans="1:49" x14ac:dyDescent="0.3">
      <c r="B13" s="27" t="s">
        <v>52</v>
      </c>
      <c r="C13" s="28" t="s">
        <v>45</v>
      </c>
      <c r="D13" s="28" t="s">
        <v>46</v>
      </c>
      <c r="E13" s="29">
        <f t="shared" si="13"/>
        <v>364</v>
      </c>
      <c r="F13" s="28">
        <f t="shared" si="0"/>
        <v>182</v>
      </c>
      <c r="G13" s="28">
        <f t="shared" si="1"/>
        <v>364</v>
      </c>
      <c r="H13" s="28">
        <f>_xlfn.XLOOKUP(B13,'[1]Baseline 2025'!$B:$B,'[1]Baseline 2025'!$C:$C)</f>
        <v>753</v>
      </c>
      <c r="I13" s="28">
        <f t="shared" si="2"/>
        <v>274092</v>
      </c>
      <c r="J13" s="28" t="str">
        <f>_xlfn.XLOOKUP(B13,'[1]Baseline 2025'!$B:$B,'[1]Baseline 2025'!$E:$E)</f>
        <v>Short Haul</v>
      </c>
      <c r="K13" s="28">
        <f>_xlfn.XLOOKUP(B13,'[1]Baseline 2025'!$B:$B,'[1]Baseline 2025'!$I:$I)/100</f>
        <v>20118.352800000001</v>
      </c>
      <c r="L13" s="28">
        <f t="shared" si="8"/>
        <v>720907.64200000011</v>
      </c>
      <c r="M13" s="28">
        <v>3.97</v>
      </c>
      <c r="N13" s="28">
        <f t="shared" si="3"/>
        <v>2862.0033387400003</v>
      </c>
      <c r="O13" s="28">
        <f t="shared" si="4"/>
        <v>8.9999999999999993E-3</v>
      </c>
      <c r="P13" s="106">
        <f t="shared" si="9"/>
        <v>6.4881687780000004</v>
      </c>
      <c r="Q13" s="106">
        <v>0</v>
      </c>
      <c r="R13" s="106">
        <f t="shared" si="10"/>
        <v>0</v>
      </c>
      <c r="S13">
        <v>100</v>
      </c>
      <c r="T13">
        <f>G13*S13*assumptions!$D$6</f>
        <v>30940</v>
      </c>
      <c r="U13">
        <v>10.9</v>
      </c>
      <c r="V13" s="57">
        <v>6.9444444444444448E-2</v>
      </c>
      <c r="W13" s="48">
        <v>2763.5099999999998</v>
      </c>
      <c r="X13" s="48">
        <f t="shared" si="5"/>
        <v>990.25774999999999</v>
      </c>
      <c r="Y13" s="65">
        <f t="shared" si="6"/>
        <v>16834.38175</v>
      </c>
      <c r="Z13">
        <v>2</v>
      </c>
      <c r="AA13">
        <v>3</v>
      </c>
      <c r="AB13" s="59">
        <v>126</v>
      </c>
      <c r="AC13" s="49">
        <v>3.5</v>
      </c>
      <c r="AD13" s="51">
        <v>747</v>
      </c>
      <c r="AE13" s="51">
        <v>5555</v>
      </c>
      <c r="AF13" s="51">
        <v>13280</v>
      </c>
      <c r="AG13" s="51">
        <v>3320</v>
      </c>
      <c r="AH13" s="51">
        <v>1038</v>
      </c>
      <c r="AI13" s="51">
        <v>2550</v>
      </c>
      <c r="AJ13" s="59">
        <v>3095</v>
      </c>
      <c r="AK13" s="51">
        <f t="shared" si="11"/>
        <v>46419.38175</v>
      </c>
      <c r="AL13" s="59">
        <v>10710</v>
      </c>
      <c r="AM13" s="51">
        <v>38150</v>
      </c>
      <c r="AN13" s="51">
        <f t="shared" si="7"/>
        <v>48860</v>
      </c>
      <c r="AO13" s="5">
        <f t="shared" si="12"/>
        <v>5.2577569066826202E-2</v>
      </c>
    </row>
    <row r="14" spans="1:49" x14ac:dyDescent="0.3">
      <c r="B14" s="27" t="s">
        <v>53</v>
      </c>
      <c r="C14" s="28" t="s">
        <v>45</v>
      </c>
      <c r="D14" s="28" t="s">
        <v>46</v>
      </c>
      <c r="E14" s="29">
        <f t="shared" si="13"/>
        <v>364</v>
      </c>
      <c r="F14" s="28">
        <f t="shared" si="0"/>
        <v>182</v>
      </c>
      <c r="G14" s="28">
        <f t="shared" si="1"/>
        <v>364</v>
      </c>
      <c r="H14" s="28">
        <f>_xlfn.XLOOKUP(B14,'[1]Baseline 2025'!$B:$B,'[1]Baseline 2025'!$C:$C)</f>
        <v>1970</v>
      </c>
      <c r="I14" s="28">
        <f t="shared" si="2"/>
        <v>717080</v>
      </c>
      <c r="J14" s="28" t="str">
        <f>_xlfn.XLOOKUP(B14,'[1]Baseline 2025'!$B:$B,'[1]Baseline 2025'!$E:$E)</f>
        <v>Short Haul</v>
      </c>
      <c r="K14" s="28">
        <f>_xlfn.XLOOKUP(B14,'[1]Baseline 2025'!$B:$B,'[1]Baseline 2025'!$I:$I)/100</f>
        <v>52633.671999999991</v>
      </c>
      <c r="L14" s="28">
        <f t="shared" si="8"/>
        <v>1886039.9133333331</v>
      </c>
      <c r="M14" s="28">
        <v>3.97</v>
      </c>
      <c r="N14" s="28">
        <f t="shared" si="3"/>
        <v>7487.5784559333324</v>
      </c>
      <c r="O14" s="28">
        <f t="shared" si="4"/>
        <v>8.9999999999999993E-3</v>
      </c>
      <c r="P14" s="106">
        <f t="shared" si="9"/>
        <v>16.974359219999993</v>
      </c>
      <c r="Q14" s="106">
        <v>0</v>
      </c>
      <c r="R14" s="106">
        <f t="shared" si="10"/>
        <v>0</v>
      </c>
      <c r="S14">
        <v>100</v>
      </c>
      <c r="T14">
        <f>G14*S14*assumptions!$D$6</f>
        <v>30940</v>
      </c>
      <c r="U14">
        <v>10.9</v>
      </c>
      <c r="V14" s="57">
        <v>0.125</v>
      </c>
      <c r="W14" s="48">
        <v>7229.9</v>
      </c>
      <c r="X14" s="48">
        <f t="shared" si="5"/>
        <v>2590.7141666666666</v>
      </c>
      <c r="Y14" s="65">
        <f t="shared" si="6"/>
        <v>44042.140833333331</v>
      </c>
      <c r="Z14">
        <v>2</v>
      </c>
      <c r="AA14">
        <v>3</v>
      </c>
      <c r="AB14" s="59">
        <v>708</v>
      </c>
      <c r="AC14" s="49">
        <v>3.5</v>
      </c>
      <c r="AD14" s="51">
        <v>1350</v>
      </c>
      <c r="AE14" s="51">
        <v>7380</v>
      </c>
      <c r="AF14" s="51">
        <v>24000</v>
      </c>
      <c r="AG14" s="51">
        <v>6000</v>
      </c>
      <c r="AH14" s="51">
        <v>1875</v>
      </c>
      <c r="AI14" s="51">
        <v>2550</v>
      </c>
      <c r="AJ14" s="59">
        <v>6231</v>
      </c>
      <c r="AK14" s="51">
        <f>Y14+AD14+AE14+AF14+AG14+AH14+AI14+AJ14</f>
        <v>93428.140833333338</v>
      </c>
      <c r="AL14" s="59">
        <v>60180</v>
      </c>
      <c r="AM14" s="51">
        <v>38150</v>
      </c>
      <c r="AN14" s="51">
        <f t="shared" si="7"/>
        <v>98330</v>
      </c>
      <c r="AO14" s="5">
        <f t="shared" si="12"/>
        <v>5.2466624326936939E-2</v>
      </c>
    </row>
    <row r="15" spans="1:49" x14ac:dyDescent="0.3">
      <c r="B15" s="27" t="s">
        <v>54</v>
      </c>
      <c r="C15" s="28" t="s">
        <v>45</v>
      </c>
      <c r="D15" s="28" t="s">
        <v>46</v>
      </c>
      <c r="E15" s="29">
        <f t="shared" si="13"/>
        <v>364</v>
      </c>
      <c r="F15" s="28">
        <f t="shared" si="0"/>
        <v>182</v>
      </c>
      <c r="G15" s="28">
        <f t="shared" si="1"/>
        <v>364</v>
      </c>
      <c r="H15" s="28">
        <f>_xlfn.XLOOKUP(B15,'[1]Baseline 2025'!$B:$B,'[1]Baseline 2025'!$C:$C)</f>
        <v>1848</v>
      </c>
      <c r="I15" s="28">
        <f t="shared" si="2"/>
        <v>672672</v>
      </c>
      <c r="J15" s="28" t="str">
        <f>_xlfn.XLOOKUP(B15,'[1]Baseline 2025'!$B:$B,'[1]Baseline 2025'!$E:$E)</f>
        <v>Short Haul</v>
      </c>
      <c r="K15" s="28">
        <f>_xlfn.XLOOKUP(B15,'[1]Baseline 2025'!$B:$B,'[1]Baseline 2025'!$I:$I)/100</f>
        <v>49374.124799999998</v>
      </c>
      <c r="L15" s="28">
        <f t="shared" si="8"/>
        <v>1769239.4719999998</v>
      </c>
      <c r="M15" s="28">
        <v>3.97</v>
      </c>
      <c r="N15" s="28">
        <f t="shared" si="3"/>
        <v>7023.88070384</v>
      </c>
      <c r="O15" s="28">
        <f t="shared" si="4"/>
        <v>8.9999999999999993E-3</v>
      </c>
      <c r="P15" s="106">
        <f t="shared" si="9"/>
        <v>15.923155247999997</v>
      </c>
      <c r="Q15" s="106">
        <v>0</v>
      </c>
      <c r="R15" s="106">
        <f t="shared" si="10"/>
        <v>0</v>
      </c>
      <c r="S15">
        <v>100</v>
      </c>
      <c r="T15">
        <f>G15*S15*assumptions!$D$6</f>
        <v>30940</v>
      </c>
      <c r="U15">
        <v>10.9</v>
      </c>
      <c r="V15" s="57">
        <v>0.13194444444444445</v>
      </c>
      <c r="W15" s="48">
        <v>6782.16</v>
      </c>
      <c r="X15" s="48">
        <f t="shared" si="5"/>
        <v>2430.2739999999999</v>
      </c>
      <c r="Y15" s="65">
        <f t="shared" si="6"/>
        <v>41314.657999999996</v>
      </c>
      <c r="Z15">
        <v>2</v>
      </c>
      <c r="AA15">
        <v>3</v>
      </c>
      <c r="AB15" s="59">
        <v>694</v>
      </c>
      <c r="AC15" s="49">
        <v>3.5</v>
      </c>
      <c r="AD15" s="51">
        <v>1425.0150000000001</v>
      </c>
      <c r="AE15" s="51">
        <v>7197</v>
      </c>
      <c r="AF15" s="51">
        <v>25333</v>
      </c>
      <c r="AG15" s="51">
        <v>6333.4</v>
      </c>
      <c r="AH15" s="51">
        <v>1979</v>
      </c>
      <c r="AI15" s="51">
        <v>2550</v>
      </c>
      <c r="AJ15" s="59">
        <v>6154</v>
      </c>
      <c r="AK15" s="51">
        <f>Y15+AD15+AE15+AF15+AG15+AH15+AI15+AJ15</f>
        <v>92286.072999999989</v>
      </c>
      <c r="AL15" s="59">
        <v>58990</v>
      </c>
      <c r="AM15" s="51">
        <v>38150</v>
      </c>
      <c r="AN15" s="51">
        <f t="shared" si="7"/>
        <v>97140</v>
      </c>
      <c r="AO15" s="5">
        <f t="shared" si="12"/>
        <v>5.2596527755601974E-2</v>
      </c>
    </row>
    <row r="16" spans="1:49" x14ac:dyDescent="0.3">
      <c r="B16" s="27" t="s">
        <v>55</v>
      </c>
      <c r="C16" s="28" t="s">
        <v>45</v>
      </c>
      <c r="D16" s="28" t="s">
        <v>46</v>
      </c>
      <c r="E16" s="29">
        <f t="shared" si="13"/>
        <v>364</v>
      </c>
      <c r="F16" s="28">
        <f t="shared" si="0"/>
        <v>182</v>
      </c>
      <c r="G16" s="28">
        <f t="shared" si="1"/>
        <v>364</v>
      </c>
      <c r="H16" s="28">
        <f>_xlfn.XLOOKUP(B16,'[1]Baseline 2025'!$B:$B,'[1]Baseline 2025'!$C:$C)</f>
        <v>665</v>
      </c>
      <c r="I16" s="28">
        <f t="shared" si="2"/>
        <v>242060</v>
      </c>
      <c r="J16" s="28" t="str">
        <f>_xlfn.XLOOKUP(B16,'[1]Baseline 2025'!$B:$B,'[1]Baseline 2025'!$E:$E)</f>
        <v>Short Haul</v>
      </c>
      <c r="K16" s="28">
        <f>_xlfn.XLOOKUP(B16,'[1]Baseline 2025'!$B:$B,'[1]Baseline 2025'!$I:$I)/100</f>
        <v>17767.203999999998</v>
      </c>
      <c r="L16" s="28">
        <f t="shared" si="8"/>
        <v>636658.14333333331</v>
      </c>
      <c r="M16" s="28">
        <v>3.97</v>
      </c>
      <c r="N16" s="28">
        <f t="shared" si="3"/>
        <v>2527.5328290333332</v>
      </c>
      <c r="O16" s="28">
        <f t="shared" si="4"/>
        <v>8.9999999999999993E-3</v>
      </c>
      <c r="P16" s="106">
        <f t="shared" si="9"/>
        <v>5.7299232899999994</v>
      </c>
      <c r="Q16" s="106">
        <v>0</v>
      </c>
      <c r="R16" s="106">
        <f t="shared" si="10"/>
        <v>0</v>
      </c>
      <c r="S16">
        <v>100</v>
      </c>
      <c r="T16">
        <f>G16*S16*assumptions!$D$6</f>
        <v>30940</v>
      </c>
      <c r="U16">
        <v>10.9</v>
      </c>
      <c r="V16" s="57">
        <v>5.9027777777777776E-2</v>
      </c>
      <c r="W16" s="48">
        <v>2440.5499999999997</v>
      </c>
      <c r="X16" s="20">
        <f t="shared" si="5"/>
        <v>874.53041666666661</v>
      </c>
      <c r="Y16" s="65">
        <f t="shared" si="6"/>
        <v>14867.017083333332</v>
      </c>
      <c r="Z16">
        <v>2</v>
      </c>
      <c r="AA16">
        <v>3</v>
      </c>
      <c r="AB16" s="59">
        <v>75</v>
      </c>
      <c r="AC16" s="49">
        <v>3.5</v>
      </c>
      <c r="AD16" s="51">
        <v>639</v>
      </c>
      <c r="AE16" s="51">
        <v>5738</v>
      </c>
      <c r="AF16" s="51">
        <v>11360</v>
      </c>
      <c r="AG16" s="51">
        <v>2840</v>
      </c>
      <c r="AH16" s="51">
        <v>888</v>
      </c>
      <c r="AI16" s="51">
        <v>2550</v>
      </c>
      <c r="AJ16" s="59">
        <v>2756</v>
      </c>
      <c r="AK16" s="51">
        <f t="shared" si="11"/>
        <v>41638.017083333332</v>
      </c>
      <c r="AL16" s="59">
        <v>6375</v>
      </c>
      <c r="AM16" s="51">
        <v>38150</v>
      </c>
      <c r="AN16" s="51">
        <f t="shared" si="7"/>
        <v>44525</v>
      </c>
      <c r="AO16" s="5">
        <f t="shared" si="12"/>
        <v>6.9335264234335003E-2</v>
      </c>
    </row>
    <row r="17" spans="2:41" x14ac:dyDescent="0.3">
      <c r="B17" s="27" t="s">
        <v>56</v>
      </c>
      <c r="C17" s="28" t="s">
        <v>45</v>
      </c>
      <c r="D17" s="28" t="s">
        <v>46</v>
      </c>
      <c r="E17" s="29">
        <f t="shared" si="13"/>
        <v>364</v>
      </c>
      <c r="F17" s="28">
        <f t="shared" si="0"/>
        <v>182</v>
      </c>
      <c r="G17" s="28">
        <f t="shared" si="1"/>
        <v>364</v>
      </c>
      <c r="H17" s="28">
        <f>_xlfn.XLOOKUP(B17,'[1]Baseline 2025'!$B:$B,'[1]Baseline 2025'!$C:$C)</f>
        <v>961</v>
      </c>
      <c r="I17" s="28">
        <f t="shared" si="2"/>
        <v>349804</v>
      </c>
      <c r="J17" s="28" t="str">
        <f>_xlfn.XLOOKUP(B17,'[1]Baseline 2025'!$B:$B,'[1]Baseline 2025'!$E:$E)</f>
        <v>Short Haul</v>
      </c>
      <c r="K17" s="28">
        <f>_xlfn.XLOOKUP(B17,'[1]Baseline 2025'!$B:$B,'[1]Baseline 2025'!$I:$I)/100</f>
        <v>25675.613599999997</v>
      </c>
      <c r="L17" s="28">
        <f t="shared" si="8"/>
        <v>920042.82066666661</v>
      </c>
      <c r="M17" s="28">
        <v>3.97</v>
      </c>
      <c r="N17" s="28">
        <f t="shared" si="3"/>
        <v>3652.5699980466666</v>
      </c>
      <c r="O17" s="28">
        <f t="shared" si="4"/>
        <v>8.9999999999999993E-3</v>
      </c>
      <c r="P17" s="106">
        <f t="shared" si="9"/>
        <v>8.280385385999999</v>
      </c>
      <c r="Q17" s="106">
        <v>0</v>
      </c>
      <c r="R17" s="106">
        <f t="shared" si="10"/>
        <v>0</v>
      </c>
      <c r="S17">
        <v>100</v>
      </c>
      <c r="T17">
        <f>G17*S17*assumptions!$D$6</f>
        <v>30940</v>
      </c>
      <c r="U17">
        <v>10.9</v>
      </c>
      <c r="V17" s="57">
        <v>7.2916666666666671E-2</v>
      </c>
      <c r="W17" s="48">
        <v>3526.87</v>
      </c>
      <c r="X17" s="48">
        <f t="shared" si="5"/>
        <v>1263.7950833333334</v>
      </c>
      <c r="Y17" s="65">
        <f t="shared" si="6"/>
        <v>21484.516416666669</v>
      </c>
      <c r="Z17">
        <v>2</v>
      </c>
      <c r="AA17">
        <v>3</v>
      </c>
      <c r="AB17" s="59">
        <v>205</v>
      </c>
      <c r="AC17" s="49">
        <v>3.5</v>
      </c>
      <c r="AD17" s="51">
        <v>787.5</v>
      </c>
      <c r="AE17" s="51">
        <v>5867</v>
      </c>
      <c r="AF17" s="51">
        <v>14000</v>
      </c>
      <c r="AG17" s="51">
        <v>3500</v>
      </c>
      <c r="AH17" s="51">
        <v>1094</v>
      </c>
      <c r="AI17" s="51">
        <v>2550</v>
      </c>
      <c r="AJ17" s="59">
        <v>3522</v>
      </c>
      <c r="AK17" s="51">
        <f t="shared" si="11"/>
        <v>52805.016416666665</v>
      </c>
      <c r="AL17" s="59">
        <v>17425</v>
      </c>
      <c r="AM17" s="51">
        <v>38150</v>
      </c>
      <c r="AN17" s="51">
        <f t="shared" si="7"/>
        <v>55575</v>
      </c>
      <c r="AO17" s="5">
        <f t="shared" si="12"/>
        <v>5.2456826477930152E-2</v>
      </c>
    </row>
    <row r="18" spans="2:41" x14ac:dyDescent="0.3">
      <c r="B18" s="27" t="s">
        <v>57</v>
      </c>
      <c r="C18" s="28" t="s">
        <v>45</v>
      </c>
      <c r="D18" s="28" t="s">
        <v>46</v>
      </c>
      <c r="E18" s="29">
        <f t="shared" si="13"/>
        <v>364</v>
      </c>
      <c r="F18" s="28">
        <f t="shared" si="0"/>
        <v>182</v>
      </c>
      <c r="G18" s="28">
        <f t="shared" si="1"/>
        <v>364</v>
      </c>
      <c r="H18" s="28">
        <f>_xlfn.XLOOKUP(B18,'[1]Baseline 2025'!$B:$B,'[1]Baseline 2025'!$C:$C)</f>
        <v>1426</v>
      </c>
      <c r="I18" s="28">
        <f t="shared" si="2"/>
        <v>519064</v>
      </c>
      <c r="J18" s="28" t="str">
        <f>_xlfn.XLOOKUP(B18,'[1]Baseline 2025'!$B:$B,'[1]Baseline 2025'!$E:$E)</f>
        <v>Short Haul</v>
      </c>
      <c r="K18" s="28">
        <f>_xlfn.XLOOKUP(B18,'[1]Baseline 2025'!$B:$B,'[1]Baseline 2025'!$I:$I)/100</f>
        <v>38099.297600000005</v>
      </c>
      <c r="L18" s="28">
        <f t="shared" si="8"/>
        <v>1365224.8306666671</v>
      </c>
      <c r="M18" s="28">
        <v>3.97</v>
      </c>
      <c r="N18" s="28">
        <f t="shared" si="3"/>
        <v>5419.9425777466686</v>
      </c>
      <c r="O18" s="28">
        <f t="shared" si="4"/>
        <v>8.9999999999999993E-3</v>
      </c>
      <c r="P18" s="106">
        <f t="shared" si="9"/>
        <v>12.287023476000002</v>
      </c>
      <c r="Q18" s="106">
        <v>0</v>
      </c>
      <c r="R18" s="106">
        <f t="shared" si="10"/>
        <v>0</v>
      </c>
      <c r="S18">
        <v>100</v>
      </c>
      <c r="T18">
        <f>G18*S18*assumptions!$D$6</f>
        <v>30940</v>
      </c>
      <c r="U18">
        <v>10.9</v>
      </c>
      <c r="V18" s="57">
        <v>0.10069444444444445</v>
      </c>
      <c r="W18" s="48">
        <v>5233.42</v>
      </c>
      <c r="X18" s="48">
        <f t="shared" si="5"/>
        <v>1875.3088333333333</v>
      </c>
      <c r="Y18" s="65">
        <f t="shared" si="6"/>
        <v>31880.250166666665</v>
      </c>
      <c r="Z18">
        <v>2</v>
      </c>
      <c r="AA18">
        <v>3</v>
      </c>
      <c r="AB18" s="59">
        <v>451</v>
      </c>
      <c r="AC18" s="49">
        <v>3.5</v>
      </c>
      <c r="AD18" s="51">
        <v>1089</v>
      </c>
      <c r="AE18" s="51">
        <v>6564</v>
      </c>
      <c r="AF18" s="51">
        <v>19360</v>
      </c>
      <c r="AG18" s="51">
        <v>4840</v>
      </c>
      <c r="AH18" s="51">
        <v>1513</v>
      </c>
      <c r="AI18" s="51">
        <v>2550</v>
      </c>
      <c r="AJ18" s="59">
        <v>4844</v>
      </c>
      <c r="AK18" s="51">
        <f t="shared" si="11"/>
        <v>72640.250166666665</v>
      </c>
      <c r="AL18" s="59">
        <v>38335</v>
      </c>
      <c r="AM18" s="51">
        <v>38150</v>
      </c>
      <c r="AN18" s="51">
        <f t="shared" si="7"/>
        <v>76485</v>
      </c>
      <c r="AO18" s="5">
        <f t="shared" si="12"/>
        <v>5.2928642515848834E-2</v>
      </c>
    </row>
    <row r="19" spans="2:41" x14ac:dyDescent="0.3">
      <c r="B19" s="27" t="s">
        <v>58</v>
      </c>
      <c r="C19" s="28" t="s">
        <v>45</v>
      </c>
      <c r="D19" s="28" t="s">
        <v>46</v>
      </c>
      <c r="E19" s="29">
        <f t="shared" si="13"/>
        <v>364</v>
      </c>
      <c r="F19" s="28">
        <f t="shared" si="0"/>
        <v>182</v>
      </c>
      <c r="G19" s="28">
        <f t="shared" si="1"/>
        <v>364</v>
      </c>
      <c r="H19" s="28">
        <f>_xlfn.XLOOKUP(B19,'[1]Baseline 2025'!$B:$B,'[1]Baseline 2025'!$C:$C)</f>
        <v>962</v>
      </c>
      <c r="I19" s="28">
        <f t="shared" si="2"/>
        <v>350168</v>
      </c>
      <c r="J19" s="28" t="str">
        <f>_xlfn.XLOOKUP(B19,'[1]Baseline 2025'!$B:$B,'[1]Baseline 2025'!$E:$E)</f>
        <v>Short Haul</v>
      </c>
      <c r="K19" s="28">
        <f>_xlfn.XLOOKUP(B19,'[1]Baseline 2025'!$B:$B,'[1]Baseline 2025'!$I:$I)/100</f>
        <v>25702.331200000001</v>
      </c>
      <c r="L19" s="28">
        <f t="shared" si="8"/>
        <v>921000.20133333339</v>
      </c>
      <c r="M19" s="28">
        <v>3.97</v>
      </c>
      <c r="N19" s="28">
        <f t="shared" si="3"/>
        <v>3656.3707992933337</v>
      </c>
      <c r="O19" s="28">
        <f t="shared" si="4"/>
        <v>8.9999999999999993E-3</v>
      </c>
      <c r="P19" s="106">
        <f t="shared" si="9"/>
        <v>8.2890018120000004</v>
      </c>
      <c r="Q19" s="106">
        <v>0</v>
      </c>
      <c r="R19" s="106">
        <f t="shared" si="10"/>
        <v>0</v>
      </c>
      <c r="S19">
        <v>100</v>
      </c>
      <c r="T19">
        <f>G19*S19*assumptions!$D$6</f>
        <v>30940</v>
      </c>
      <c r="U19">
        <v>10.9</v>
      </c>
      <c r="V19" s="57">
        <v>7.2916666666666671E-2</v>
      </c>
      <c r="W19" s="48">
        <v>3530.54</v>
      </c>
      <c r="X19" s="48">
        <f t="shared" si="5"/>
        <v>1265.1101666666666</v>
      </c>
      <c r="Y19" s="65">
        <f t="shared" si="6"/>
        <v>21506.872833333331</v>
      </c>
      <c r="Z19">
        <v>2</v>
      </c>
      <c r="AA19">
        <v>3</v>
      </c>
      <c r="AB19" s="59">
        <v>205.5</v>
      </c>
      <c r="AC19" s="49">
        <v>3.5</v>
      </c>
      <c r="AD19" s="51">
        <v>787.5</v>
      </c>
      <c r="AE19" s="51">
        <v>5868</v>
      </c>
      <c r="AF19" s="51">
        <v>14000</v>
      </c>
      <c r="AG19" s="51">
        <v>3500</v>
      </c>
      <c r="AH19" s="51">
        <v>1094</v>
      </c>
      <c r="AI19" s="51">
        <v>2550</v>
      </c>
      <c r="AJ19" s="59">
        <v>3523</v>
      </c>
      <c r="AK19" s="51">
        <f t="shared" si="11"/>
        <v>52829.372833333327</v>
      </c>
      <c r="AL19" s="59">
        <v>17467.5</v>
      </c>
      <c r="AM19" s="51">
        <v>38150</v>
      </c>
      <c r="AN19" s="51">
        <f t="shared" si="7"/>
        <v>55617.5</v>
      </c>
      <c r="AO19" s="5">
        <f t="shared" si="12"/>
        <v>5.2776079236501294E-2</v>
      </c>
    </row>
    <row r="20" spans="2:41" x14ac:dyDescent="0.3">
      <c r="B20" s="27" t="s">
        <v>59</v>
      </c>
      <c r="C20" s="28" t="s">
        <v>45</v>
      </c>
      <c r="D20" s="28" t="s">
        <v>46</v>
      </c>
      <c r="E20" s="29">
        <f t="shared" si="13"/>
        <v>364</v>
      </c>
      <c r="F20" s="28">
        <f t="shared" si="0"/>
        <v>182</v>
      </c>
      <c r="G20" s="28">
        <f t="shared" si="1"/>
        <v>364</v>
      </c>
      <c r="H20" s="28">
        <f>_xlfn.XLOOKUP(B20,'[1]Baseline 2025'!$B:$B,'[1]Baseline 2025'!$C:$C)</f>
        <v>1105</v>
      </c>
      <c r="I20" s="28">
        <f t="shared" si="2"/>
        <v>402220</v>
      </c>
      <c r="J20" s="28" t="str">
        <f>_xlfn.XLOOKUP(B20,'[1]Baseline 2025'!$B:$B,'[1]Baseline 2025'!$E:$E)</f>
        <v>Short Haul</v>
      </c>
      <c r="K20" s="28">
        <f>_xlfn.XLOOKUP(B20,'[1]Baseline 2025'!$B:$B,'[1]Baseline 2025'!$I:$I)/100</f>
        <v>29522.948000000004</v>
      </c>
      <c r="L20" s="28">
        <f t="shared" si="8"/>
        <v>1057905.6366666667</v>
      </c>
      <c r="M20" s="28">
        <v>3.97</v>
      </c>
      <c r="N20" s="28">
        <f t="shared" si="3"/>
        <v>4199.8853775666676</v>
      </c>
      <c r="O20" s="28">
        <f t="shared" si="4"/>
        <v>8.9999999999999993E-3</v>
      </c>
      <c r="P20" s="106">
        <f t="shared" si="9"/>
        <v>9.5211507299999987</v>
      </c>
      <c r="Q20" s="106">
        <v>0</v>
      </c>
      <c r="R20" s="106">
        <f t="shared" si="10"/>
        <v>0</v>
      </c>
      <c r="S20">
        <v>100</v>
      </c>
      <c r="T20">
        <f>G20*S20*assumptions!$D$6</f>
        <v>30940</v>
      </c>
      <c r="U20">
        <v>10.9</v>
      </c>
      <c r="V20" s="57">
        <v>7.9861111111111105E-2</v>
      </c>
      <c r="W20" s="48">
        <v>4055.35</v>
      </c>
      <c r="X20" s="48">
        <f t="shared" si="5"/>
        <v>1453.1670833333333</v>
      </c>
      <c r="Y20" s="65">
        <f t="shared" si="6"/>
        <v>24703.840416666666</v>
      </c>
      <c r="Z20">
        <v>2</v>
      </c>
      <c r="AA20">
        <v>3</v>
      </c>
      <c r="AB20" s="59">
        <v>275</v>
      </c>
      <c r="AC20" s="49">
        <v>3.5</v>
      </c>
      <c r="AD20" s="51">
        <v>862.51499999999999</v>
      </c>
      <c r="AE20" s="51">
        <v>6083</v>
      </c>
      <c r="AF20" s="51">
        <v>15333.6</v>
      </c>
      <c r="AG20" s="51">
        <v>3833.4</v>
      </c>
      <c r="AH20" s="51">
        <v>1198</v>
      </c>
      <c r="AI20" s="51">
        <v>2550</v>
      </c>
      <c r="AJ20" s="59">
        <v>3899</v>
      </c>
      <c r="AK20" s="51">
        <f t="shared" si="11"/>
        <v>58463.355416666665</v>
      </c>
      <c r="AL20" s="59">
        <v>23375</v>
      </c>
      <c r="AM20" s="51">
        <v>38150</v>
      </c>
      <c r="AN20" s="51">
        <f t="shared" si="7"/>
        <v>61525</v>
      </c>
      <c r="AO20" s="5">
        <f t="shared" si="12"/>
        <v>5.2368608703915243E-2</v>
      </c>
    </row>
    <row r="21" spans="2:41" x14ac:dyDescent="0.3">
      <c r="B21" s="27" t="s">
        <v>60</v>
      </c>
      <c r="C21" s="28" t="s">
        <v>45</v>
      </c>
      <c r="D21" s="28" t="s">
        <v>46</v>
      </c>
      <c r="E21" s="29">
        <f>14*52*2</f>
        <v>1456</v>
      </c>
      <c r="F21" s="28">
        <f t="shared" si="0"/>
        <v>728</v>
      </c>
      <c r="G21" s="28">
        <f t="shared" si="1"/>
        <v>1456</v>
      </c>
      <c r="H21" s="28">
        <f>_xlfn.XLOOKUP(B21,'[1]Baseline 2025'!$B:$B,'[1]Baseline 2025'!$C:$C)</f>
        <v>603</v>
      </c>
      <c r="I21" s="28">
        <f t="shared" si="2"/>
        <v>877968</v>
      </c>
      <c r="J21" s="28" t="str">
        <f>_xlfn.XLOOKUP(B21,'[1]Baseline 2025'!$B:$B,'[1]Baseline 2025'!$E:$E)</f>
        <v>Short Haul</v>
      </c>
      <c r="K21" s="28">
        <f>_xlfn.XLOOKUP(B21,'[1]Baseline 2025'!$B:$B,'[1]Baseline 2025'!$I:$I)/100</f>
        <v>32221.425599999995</v>
      </c>
      <c r="L21" s="28">
        <f t="shared" si="8"/>
        <v>1154601.0839999998</v>
      </c>
      <c r="M21" s="28">
        <v>3.97</v>
      </c>
      <c r="N21" s="28">
        <f t="shared" si="3"/>
        <v>4583.7663034799989</v>
      </c>
      <c r="O21" s="28">
        <f t="shared" si="4"/>
        <v>8.9999999999999993E-3</v>
      </c>
      <c r="P21" s="106">
        <f t="shared" si="9"/>
        <v>10.391409755999998</v>
      </c>
      <c r="Q21" s="106">
        <v>0</v>
      </c>
      <c r="R21" s="106">
        <f t="shared" si="10"/>
        <v>0</v>
      </c>
      <c r="S21">
        <v>100</v>
      </c>
      <c r="T21">
        <f>G21*S21*assumptions!$D$6</f>
        <v>123760</v>
      </c>
      <c r="U21">
        <v>10.9</v>
      </c>
      <c r="V21" s="57">
        <v>5.9027777777777776E-2</v>
      </c>
      <c r="W21" s="48">
        <v>2213.0099999999998</v>
      </c>
      <c r="X21" s="48">
        <f t="shared" si="5"/>
        <v>792.99524999999994</v>
      </c>
      <c r="Y21" s="65">
        <f t="shared" si="6"/>
        <v>13480.919249999999</v>
      </c>
      <c r="Z21">
        <v>2</v>
      </c>
      <c r="AA21">
        <v>3</v>
      </c>
      <c r="AB21" s="59">
        <v>75</v>
      </c>
      <c r="AC21" s="49">
        <v>3.5</v>
      </c>
      <c r="AD21" s="51">
        <v>637.51499999999999</v>
      </c>
      <c r="AE21" s="51">
        <v>5330</v>
      </c>
      <c r="AF21" s="51">
        <v>11333.6</v>
      </c>
      <c r="AG21" s="51">
        <v>2833.4</v>
      </c>
      <c r="AH21" s="51">
        <v>885</v>
      </c>
      <c r="AI21" s="51">
        <v>2550</v>
      </c>
      <c r="AJ21" s="59">
        <v>2647</v>
      </c>
      <c r="AK21" s="51">
        <f t="shared" si="11"/>
        <v>39697.434249999998</v>
      </c>
      <c r="AL21" s="59">
        <v>6375</v>
      </c>
      <c r="AM21" s="51">
        <v>38150</v>
      </c>
      <c r="AN21" s="51">
        <f t="shared" si="7"/>
        <v>44525</v>
      </c>
      <c r="AO21" s="5">
        <f t="shared" si="12"/>
        <v>0.1216090117965245</v>
      </c>
    </row>
    <row r="22" spans="2:41" x14ac:dyDescent="0.3">
      <c r="B22" s="61" t="s">
        <v>61</v>
      </c>
      <c r="C22" s="24" t="s">
        <v>62</v>
      </c>
      <c r="D22" s="24" t="s">
        <v>46</v>
      </c>
      <c r="E22" s="25">
        <f>3*52*2</f>
        <v>312</v>
      </c>
      <c r="F22" s="24">
        <f t="shared" si="0"/>
        <v>156</v>
      </c>
      <c r="G22" s="24">
        <f t="shared" si="1"/>
        <v>312</v>
      </c>
      <c r="H22" s="24">
        <f>_xlfn.XLOOKUP(B22,'[1]Baseline 2025'!$B:$B,'[1]Baseline 2025'!$C:$C)</f>
        <v>9217</v>
      </c>
      <c r="I22" s="24">
        <f t="shared" si="2"/>
        <v>2875704</v>
      </c>
      <c r="J22" s="24" t="str">
        <f>_xlfn.XLOOKUP(B22,'[1]Baseline 2025'!$B:$B,'[1]Baseline 2025'!$E:$E)</f>
        <v>Long Haul</v>
      </c>
      <c r="K22" s="24">
        <f>_xlfn.XLOOKUP(B22,'[1]Baseline 2025'!$B:$B,'[1]Baseline 2025'!$I:$I)/100</f>
        <v>213377.23679999998</v>
      </c>
      <c r="L22" s="28">
        <f t="shared" si="8"/>
        <v>7646017.6519999998</v>
      </c>
      <c r="M22" s="28">
        <v>3.97</v>
      </c>
      <c r="N22" s="24">
        <f t="shared" si="3"/>
        <v>30354.690078439999</v>
      </c>
      <c r="O22" s="28">
        <f t="shared" si="4"/>
        <v>8.9999999999999993E-3</v>
      </c>
      <c r="P22" s="106">
        <f t="shared" si="9"/>
        <v>68.814158867999993</v>
      </c>
      <c r="Q22" s="106">
        <v>0</v>
      </c>
      <c r="R22" s="106">
        <f t="shared" si="10"/>
        <v>0</v>
      </c>
      <c r="S22">
        <v>300</v>
      </c>
      <c r="T22">
        <f>G22*S22*assumptions!$D$6</f>
        <v>79560</v>
      </c>
      <c r="U22">
        <v>20</v>
      </c>
      <c r="V22" s="57">
        <v>0.46875</v>
      </c>
      <c r="W22" s="48">
        <v>68390.14</v>
      </c>
      <c r="X22" s="48">
        <f t="shared" si="5"/>
        <v>24506.466833333332</v>
      </c>
      <c r="Y22" s="65">
        <f t="shared" si="6"/>
        <v>416609.93616666662</v>
      </c>
      <c r="Z22">
        <v>3</v>
      </c>
      <c r="AA22">
        <v>12</v>
      </c>
      <c r="AB22" s="59">
        <v>2364</v>
      </c>
      <c r="AC22" s="49">
        <v>2.5</v>
      </c>
      <c r="AD22" s="51">
        <v>11812.5</v>
      </c>
      <c r="AE22" s="51">
        <v>27101</v>
      </c>
      <c r="AF22" s="51">
        <v>90000</v>
      </c>
      <c r="AG22" s="51">
        <v>22500</v>
      </c>
      <c r="AH22" s="51">
        <v>21094</v>
      </c>
      <c r="AI22" s="51">
        <v>7650</v>
      </c>
      <c r="AJ22" s="59">
        <v>42642</v>
      </c>
      <c r="AK22" s="51">
        <f t="shared" si="11"/>
        <v>639409.43616666668</v>
      </c>
      <c r="AL22" s="59">
        <v>602820</v>
      </c>
      <c r="AM22" s="51">
        <v>70000</v>
      </c>
      <c r="AN22" s="51">
        <f t="shared" si="7"/>
        <v>672820</v>
      </c>
      <c r="AO22" s="5">
        <f t="shared" si="12"/>
        <v>5.2252222040440222E-2</v>
      </c>
    </row>
    <row r="23" spans="2:41" x14ac:dyDescent="0.3">
      <c r="B23" s="61" t="s">
        <v>63</v>
      </c>
      <c r="C23" s="24" t="s">
        <v>62</v>
      </c>
      <c r="D23" s="24" t="s">
        <v>46</v>
      </c>
      <c r="E23" s="25">
        <f>3*52*2</f>
        <v>312</v>
      </c>
      <c r="F23" s="24">
        <f t="shared" si="0"/>
        <v>156</v>
      </c>
      <c r="G23" s="24">
        <f t="shared" si="1"/>
        <v>312</v>
      </c>
      <c r="H23" s="24">
        <f>_xlfn.XLOOKUP(B23,'[1]Baseline 2025'!$B:$B,'[1]Baseline 2025'!$C:$C)</f>
        <v>9285</v>
      </c>
      <c r="I23" s="24">
        <f t="shared" si="2"/>
        <v>2896920</v>
      </c>
      <c r="J23" s="24" t="str">
        <f>_xlfn.XLOOKUP(B23,'[1]Baseline 2025'!$B:$B,'[1]Baseline 2025'!$E:$E)</f>
        <v>Long Haul</v>
      </c>
      <c r="K23" s="24">
        <f>_xlfn.XLOOKUP(B23,'[1]Baseline 2025'!$B:$B,'[1]Baseline 2025'!$I:$I)/100</f>
        <v>214951.46399999998</v>
      </c>
      <c r="L23" s="28">
        <f t="shared" si="8"/>
        <v>7702427.459999999</v>
      </c>
      <c r="M23" s="28">
        <v>3.97</v>
      </c>
      <c r="N23" s="24">
        <f t="shared" si="3"/>
        <v>30578.637016199998</v>
      </c>
      <c r="O23" s="28">
        <f t="shared" si="4"/>
        <v>8.9999999999999993E-3</v>
      </c>
      <c r="P23" s="106">
        <f t="shared" si="9"/>
        <v>69.321847139999988</v>
      </c>
      <c r="Q23" s="106">
        <v>0</v>
      </c>
      <c r="R23" s="106">
        <f t="shared" si="10"/>
        <v>0</v>
      </c>
      <c r="S23">
        <v>300</v>
      </c>
      <c r="T23">
        <f>G23*S23*assumptions!$D$6</f>
        <v>79560</v>
      </c>
      <c r="U23">
        <v>20</v>
      </c>
      <c r="V23" s="57">
        <v>0.46875</v>
      </c>
      <c r="W23" s="48">
        <v>68894.7</v>
      </c>
      <c r="X23" s="48">
        <f t="shared" si="5"/>
        <v>24687.267500000002</v>
      </c>
      <c r="Y23" s="65">
        <f t="shared" si="6"/>
        <v>419683.54750000004</v>
      </c>
      <c r="Z23">
        <v>3</v>
      </c>
      <c r="AA23">
        <v>12</v>
      </c>
      <c r="AB23" s="59">
        <v>2378</v>
      </c>
      <c r="AC23" s="49">
        <v>3.5</v>
      </c>
      <c r="AD23" s="51">
        <v>11812.5</v>
      </c>
      <c r="AE23" s="51">
        <v>27203</v>
      </c>
      <c r="AF23" s="51">
        <v>90000</v>
      </c>
      <c r="AG23" s="51">
        <v>22500</v>
      </c>
      <c r="AH23" s="51">
        <v>21094</v>
      </c>
      <c r="AI23" s="51">
        <v>7650</v>
      </c>
      <c r="AJ23" s="59">
        <v>42869</v>
      </c>
      <c r="AK23" s="51">
        <f t="shared" si="11"/>
        <v>642812.0475000001</v>
      </c>
      <c r="AL23" s="59">
        <v>606390</v>
      </c>
      <c r="AM23" s="51">
        <v>70000</v>
      </c>
      <c r="AN23" s="51">
        <f t="shared" si="7"/>
        <v>676390</v>
      </c>
      <c r="AO23" s="5">
        <f t="shared" si="12"/>
        <v>5.2236034826338429E-2</v>
      </c>
    </row>
    <row r="24" spans="2:41" x14ac:dyDescent="0.3">
      <c r="B24" s="61" t="s">
        <v>64</v>
      </c>
      <c r="C24" s="24" t="s">
        <v>62</v>
      </c>
      <c r="D24" s="24" t="s">
        <v>46</v>
      </c>
      <c r="E24" s="25">
        <f>52*2</f>
        <v>104</v>
      </c>
      <c r="F24" s="24">
        <f t="shared" si="0"/>
        <v>52</v>
      </c>
      <c r="G24" s="24">
        <f t="shared" si="1"/>
        <v>104</v>
      </c>
      <c r="H24" s="24">
        <f>_xlfn.XLOOKUP(B24,'[1]Baseline 2025'!$B:$B,'[1]Baseline 2025'!$C:$C)</f>
        <v>8886</v>
      </c>
      <c r="I24" s="24">
        <f t="shared" si="2"/>
        <v>924144</v>
      </c>
      <c r="J24" s="24" t="str">
        <f>_xlfn.XLOOKUP(B24,'[1]Baseline 2025'!$B:$B,'[1]Baseline 2025'!$E:$E)</f>
        <v>Long Haul</v>
      </c>
      <c r="K24" s="24">
        <f>_xlfn.XLOOKUP(B24,'[1]Baseline 2025'!$B:$B,'[1]Baseline 2025'!$I:$I)/100</f>
        <v>68571.484799999991</v>
      </c>
      <c r="L24" s="28">
        <f t="shared" si="8"/>
        <v>2457144.872</v>
      </c>
      <c r="M24" s="28">
        <v>3.97</v>
      </c>
      <c r="N24" s="24">
        <f t="shared" si="3"/>
        <v>9754.8651418400004</v>
      </c>
      <c r="O24" s="28">
        <f t="shared" si="4"/>
        <v>8.9999999999999993E-3</v>
      </c>
      <c r="P24" s="106">
        <f t="shared" si="9"/>
        <v>22.114303847999999</v>
      </c>
      <c r="Q24" s="106">
        <v>0</v>
      </c>
      <c r="R24" s="106">
        <f t="shared" si="10"/>
        <v>0</v>
      </c>
      <c r="S24">
        <v>300</v>
      </c>
      <c r="T24">
        <f>G24*S24*assumptions!$D$6</f>
        <v>26520</v>
      </c>
      <c r="U24">
        <v>20</v>
      </c>
      <c r="V24" s="57">
        <v>0.45833333333333331</v>
      </c>
      <c r="W24" s="48">
        <v>65934.12</v>
      </c>
      <c r="X24" s="48">
        <f t="shared" si="5"/>
        <v>23626.392999999996</v>
      </c>
      <c r="Y24" s="65">
        <f t="shared" si="6"/>
        <v>401648.68099999992</v>
      </c>
      <c r="Z24">
        <v>3</v>
      </c>
      <c r="AA24">
        <v>12</v>
      </c>
      <c r="AB24" s="88">
        <v>2282</v>
      </c>
      <c r="AC24" s="49">
        <v>3.5</v>
      </c>
      <c r="AD24" s="51">
        <v>11550</v>
      </c>
      <c r="AE24" s="51">
        <v>26604</v>
      </c>
      <c r="AF24" s="51">
        <v>88000</v>
      </c>
      <c r="AG24" s="51">
        <v>22000</v>
      </c>
      <c r="AH24" s="51">
        <v>20625</v>
      </c>
      <c r="AI24" s="51">
        <v>7650</v>
      </c>
      <c r="AJ24" s="59">
        <v>41307</v>
      </c>
      <c r="AK24" s="51">
        <f t="shared" si="11"/>
        <v>619384.68099999987</v>
      </c>
      <c r="AL24" s="59">
        <v>581910</v>
      </c>
      <c r="AM24" s="51">
        <v>70000</v>
      </c>
      <c r="AN24" s="51">
        <f t="shared" si="7"/>
        <v>651910</v>
      </c>
      <c r="AO24" s="5">
        <f t="shared" si="12"/>
        <v>5.2512307775335776E-2</v>
      </c>
    </row>
    <row r="25" spans="2:41" x14ac:dyDescent="0.3">
      <c r="B25" s="61" t="s">
        <v>65</v>
      </c>
      <c r="C25" s="24" t="s">
        <v>62</v>
      </c>
      <c r="D25" s="24" t="s">
        <v>46</v>
      </c>
      <c r="E25" s="25">
        <f>156*2</f>
        <v>312</v>
      </c>
      <c r="F25" s="24">
        <f t="shared" si="0"/>
        <v>156</v>
      </c>
      <c r="G25" s="24">
        <f t="shared" si="1"/>
        <v>312</v>
      </c>
      <c r="H25" s="24">
        <f>_xlfn.XLOOKUP(B25,'[1]Baseline 2025'!$B:$B,'[1]Baseline 2025'!$C:$C)</f>
        <v>8818</v>
      </c>
      <c r="I25" s="24">
        <f t="shared" si="2"/>
        <v>2751216</v>
      </c>
      <c r="J25" s="24" t="str">
        <f>_xlfn.XLOOKUP(B25,'[1]Baseline 2025'!$B:$B,'[1]Baseline 2025'!$E:$E)</f>
        <v>Long Haul</v>
      </c>
      <c r="K25" s="24">
        <f>_xlfn.XLOOKUP(B25,'[1]Baseline 2025'!$B:$B,'[1]Baseline 2025'!$I:$I)/100</f>
        <v>204140.22719999999</v>
      </c>
      <c r="L25" s="28">
        <f t="shared" si="8"/>
        <v>7315024.8079999993</v>
      </c>
      <c r="M25" s="28">
        <v>3.97</v>
      </c>
      <c r="N25" s="24">
        <f t="shared" si="3"/>
        <v>29040.648487760001</v>
      </c>
      <c r="O25" s="28">
        <f t="shared" si="4"/>
        <v>8.9999999999999993E-3</v>
      </c>
      <c r="P25" s="106">
        <f t="shared" si="9"/>
        <v>65.835223271999993</v>
      </c>
      <c r="Q25" s="106">
        <v>0</v>
      </c>
      <c r="R25" s="106">
        <f t="shared" si="10"/>
        <v>0</v>
      </c>
      <c r="S25">
        <v>300</v>
      </c>
      <c r="T25">
        <f>G25*S25*assumptions!$D$6</f>
        <v>79560</v>
      </c>
      <c r="U25">
        <v>20</v>
      </c>
      <c r="V25" s="57">
        <v>0.46527777777777779</v>
      </c>
      <c r="W25" s="48">
        <v>65429.56</v>
      </c>
      <c r="X25" s="48">
        <f t="shared" si="5"/>
        <v>23445.592333333334</v>
      </c>
      <c r="Y25" s="65">
        <f t="shared" si="6"/>
        <v>398575.06966666668</v>
      </c>
      <c r="Z25">
        <v>3</v>
      </c>
      <c r="AA25">
        <v>12</v>
      </c>
      <c r="AB25" s="59">
        <v>2277</v>
      </c>
      <c r="AC25" s="49">
        <v>3.5</v>
      </c>
      <c r="AD25" s="51">
        <v>11718</v>
      </c>
      <c r="AE25" s="51">
        <v>26502</v>
      </c>
      <c r="AF25" s="51">
        <v>89280</v>
      </c>
      <c r="AG25" s="51">
        <v>22320</v>
      </c>
      <c r="AH25" s="51">
        <v>20925</v>
      </c>
      <c r="AI25" s="51">
        <v>7650</v>
      </c>
      <c r="AJ25" s="59">
        <v>41228</v>
      </c>
      <c r="AK25" s="51">
        <f t="shared" si="11"/>
        <v>618198.06966666668</v>
      </c>
      <c r="AL25" s="59">
        <v>580635</v>
      </c>
      <c r="AM25" s="51">
        <v>70000</v>
      </c>
      <c r="AN25" s="51">
        <f t="shared" si="7"/>
        <v>650635</v>
      </c>
      <c r="AO25" s="5">
        <f t="shared" si="12"/>
        <v>5.2470125555104552E-2</v>
      </c>
    </row>
    <row r="26" spans="2:41" x14ac:dyDescent="0.3">
      <c r="B26" s="61" t="s">
        <v>66</v>
      </c>
      <c r="C26" s="24" t="s">
        <v>62</v>
      </c>
      <c r="D26" s="24" t="s">
        <v>46</v>
      </c>
      <c r="E26" s="25">
        <f>156*2</f>
        <v>312</v>
      </c>
      <c r="F26" s="24">
        <f t="shared" si="0"/>
        <v>156</v>
      </c>
      <c r="G26" s="24">
        <f t="shared" si="1"/>
        <v>312</v>
      </c>
      <c r="H26" s="24">
        <f>_xlfn.XLOOKUP(B26,'[1]Baseline 2025'!$B:$B,'[1]Baseline 2025'!$C:$C)</f>
        <v>9220</v>
      </c>
      <c r="I26" s="24">
        <f t="shared" si="2"/>
        <v>2876640</v>
      </c>
      <c r="J26" s="24" t="str">
        <f>_xlfn.XLOOKUP(B26,'[1]Baseline 2025'!$B:$B,'[1]Baseline 2025'!$E:$E)</f>
        <v>Long Haul</v>
      </c>
      <c r="K26" s="24">
        <f>_xlfn.XLOOKUP(B26,'[1]Baseline 2025'!$B:$B,'[1]Baseline 2025'!$I:$I)/100</f>
        <v>213446.68799999997</v>
      </c>
      <c r="L26" s="28">
        <f t="shared" si="8"/>
        <v>7648506.3199999984</v>
      </c>
      <c r="M26" s="28">
        <v>3.97</v>
      </c>
      <c r="N26" s="24">
        <f t="shared" si="3"/>
        <v>30364.570090399997</v>
      </c>
      <c r="O26" s="28">
        <f t="shared" si="4"/>
        <v>8.9999999999999993E-3</v>
      </c>
      <c r="P26" s="106">
        <f t="shared" si="9"/>
        <v>68.836556879999975</v>
      </c>
      <c r="Q26" s="106">
        <v>0</v>
      </c>
      <c r="R26" s="106">
        <f t="shared" si="10"/>
        <v>0</v>
      </c>
      <c r="S26">
        <v>300</v>
      </c>
      <c r="T26">
        <f>G26*S26*assumptions!$D$6</f>
        <v>79560</v>
      </c>
      <c r="U26">
        <v>20</v>
      </c>
      <c r="V26" s="57">
        <v>0.47916666666666669</v>
      </c>
      <c r="W26" s="48">
        <v>68412.399999999994</v>
      </c>
      <c r="X26" s="48">
        <f t="shared" si="5"/>
        <v>24514.443333333333</v>
      </c>
      <c r="Y26" s="65">
        <f t="shared" si="6"/>
        <v>416745.53666666668</v>
      </c>
      <c r="Z26">
        <v>3</v>
      </c>
      <c r="AA26">
        <v>12</v>
      </c>
      <c r="AB26" s="59">
        <v>2380</v>
      </c>
      <c r="AC26" s="49">
        <v>3.5</v>
      </c>
      <c r="AD26" s="51">
        <v>12075</v>
      </c>
      <c r="AE26" s="51">
        <v>27105</v>
      </c>
      <c r="AF26" s="51">
        <v>92000</v>
      </c>
      <c r="AG26" s="51">
        <v>23000</v>
      </c>
      <c r="AH26" s="51">
        <v>21563</v>
      </c>
      <c r="AI26" s="51">
        <v>7650</v>
      </c>
      <c r="AJ26" s="59">
        <v>42883</v>
      </c>
      <c r="AK26" s="51">
        <f t="shared" si="11"/>
        <v>643021.53666666662</v>
      </c>
      <c r="AL26" s="59">
        <v>606900</v>
      </c>
      <c r="AM26" s="51">
        <v>70000</v>
      </c>
      <c r="AN26" s="51">
        <f t="shared" si="7"/>
        <v>676900</v>
      </c>
      <c r="AO26" s="5">
        <f t="shared" si="12"/>
        <v>5.2686358701070191E-2</v>
      </c>
    </row>
    <row r="27" spans="2:41" x14ac:dyDescent="0.3">
      <c r="B27" s="61" t="s">
        <v>67</v>
      </c>
      <c r="C27" s="24" t="s">
        <v>62</v>
      </c>
      <c r="D27" s="24" t="s">
        <v>46</v>
      </c>
      <c r="E27" s="25">
        <f>52*2</f>
        <v>104</v>
      </c>
      <c r="F27" s="24">
        <f t="shared" si="0"/>
        <v>52</v>
      </c>
      <c r="G27" s="24">
        <f t="shared" si="1"/>
        <v>104</v>
      </c>
      <c r="H27" s="24">
        <f>_xlfn.XLOOKUP(B27,'[1]Baseline 2025'!$B:$B,'[1]Baseline 2025'!$C:$C)</f>
        <v>9536</v>
      </c>
      <c r="I27" s="24">
        <f t="shared" si="2"/>
        <v>991744</v>
      </c>
      <c r="J27" s="24" t="str">
        <f>_xlfn.XLOOKUP(B27,'[1]Baseline 2025'!$B:$B,'[1]Baseline 2025'!$E:$E)</f>
        <v>Long Haul</v>
      </c>
      <c r="K27" s="24">
        <f>_xlfn.XLOOKUP(B27,'[1]Baseline 2025'!$B:$B,'[1]Baseline 2025'!$I:$I)/100</f>
        <v>73587.404799999989</v>
      </c>
      <c r="L27" s="28">
        <f t="shared" si="8"/>
        <v>2636882.0053333328</v>
      </c>
      <c r="M27" s="28">
        <v>3.97</v>
      </c>
      <c r="N27" s="24">
        <f t="shared" si="3"/>
        <v>10468.421561173331</v>
      </c>
      <c r="O27" s="28">
        <f t="shared" si="4"/>
        <v>8.9999999999999993E-3</v>
      </c>
      <c r="P27" s="106">
        <f t="shared" si="9"/>
        <v>23.731938047999993</v>
      </c>
      <c r="Q27" s="106">
        <v>0</v>
      </c>
      <c r="R27" s="106">
        <f t="shared" si="10"/>
        <v>0</v>
      </c>
      <c r="S27">
        <v>300</v>
      </c>
      <c r="T27">
        <f>G27*S27*assumptions!$D$6</f>
        <v>26520</v>
      </c>
      <c r="U27">
        <v>20</v>
      </c>
      <c r="V27" s="57">
        <v>0.5</v>
      </c>
      <c r="W27" s="48">
        <v>70757.119999999995</v>
      </c>
      <c r="X27" s="48">
        <f t="shared" si="5"/>
        <v>25354.634666666665</v>
      </c>
      <c r="Y27" s="65">
        <f t="shared" si="6"/>
        <v>431028.78933333332</v>
      </c>
      <c r="Z27">
        <v>3</v>
      </c>
      <c r="AA27">
        <v>12</v>
      </c>
      <c r="AB27" s="59">
        <v>2475</v>
      </c>
      <c r="AC27" s="49">
        <v>3.5</v>
      </c>
      <c r="AD27" s="51">
        <v>12600</v>
      </c>
      <c r="AE27" s="51">
        <v>27579</v>
      </c>
      <c r="AF27" s="51">
        <v>96000</v>
      </c>
      <c r="AG27" s="51">
        <v>24000</v>
      </c>
      <c r="AH27" s="51">
        <v>22500</v>
      </c>
      <c r="AI27" s="51">
        <v>7650</v>
      </c>
      <c r="AJ27" s="59">
        <v>44400</v>
      </c>
      <c r="AK27" s="51">
        <f t="shared" si="11"/>
        <v>665757.78933333326</v>
      </c>
      <c r="AL27" s="59">
        <v>631125</v>
      </c>
      <c r="AM27" s="51">
        <v>70000</v>
      </c>
      <c r="AN27" s="51">
        <f t="shared" si="7"/>
        <v>701125</v>
      </c>
      <c r="AO27" s="5">
        <f t="shared" si="12"/>
        <v>5.3123239762740582E-2</v>
      </c>
    </row>
    <row r="28" spans="2:41" x14ac:dyDescent="0.3">
      <c r="B28" s="61" t="s">
        <v>68</v>
      </c>
      <c r="C28" s="24" t="s">
        <v>62</v>
      </c>
      <c r="D28" s="24" t="s">
        <v>46</v>
      </c>
      <c r="E28" s="25">
        <f>156*2</f>
        <v>312</v>
      </c>
      <c r="F28" s="24">
        <f t="shared" si="0"/>
        <v>156</v>
      </c>
      <c r="G28" s="24">
        <f t="shared" si="1"/>
        <v>312</v>
      </c>
      <c r="H28" s="24">
        <f>_xlfn.XLOOKUP(B28,'[1]Baseline 2025'!$B:$B,'[1]Baseline 2025'!$C:$C)</f>
        <v>9652</v>
      </c>
      <c r="I28" s="24">
        <f t="shared" si="2"/>
        <v>3011424</v>
      </c>
      <c r="J28" s="24" t="str">
        <f>_xlfn.XLOOKUP(B28,'[1]Baseline 2025'!$B:$B,'[1]Baseline 2025'!$E:$E)</f>
        <v>Long Haul</v>
      </c>
      <c r="K28" s="24">
        <f>_xlfn.XLOOKUP(B28,'[1]Baseline 2025'!$B:$B,'[1]Baseline 2025'!$I:$I)/100</f>
        <v>223447.66079999998</v>
      </c>
      <c r="L28" s="28">
        <f t="shared" si="8"/>
        <v>8006874.5119999992</v>
      </c>
      <c r="M28" s="28">
        <v>3.97</v>
      </c>
      <c r="N28" s="24">
        <f t="shared" si="3"/>
        <v>31787.29181264</v>
      </c>
      <c r="O28" s="28">
        <f t="shared" si="4"/>
        <v>8.9999999999999993E-3</v>
      </c>
      <c r="P28" s="106">
        <f t="shared" si="9"/>
        <v>72.061870607999978</v>
      </c>
      <c r="Q28" s="106">
        <v>0</v>
      </c>
      <c r="R28" s="106">
        <f t="shared" si="10"/>
        <v>0</v>
      </c>
      <c r="S28">
        <v>300</v>
      </c>
      <c r="T28">
        <f>G28*S28*assumptions!$D$6</f>
        <v>79560</v>
      </c>
      <c r="U28">
        <v>20</v>
      </c>
      <c r="V28" s="57">
        <v>0.47222222222222221</v>
      </c>
      <c r="W28" s="48">
        <v>71617.84</v>
      </c>
      <c r="X28" s="48">
        <f t="shared" si="5"/>
        <v>25663.059333333331</v>
      </c>
      <c r="Y28" s="65">
        <f t="shared" si="6"/>
        <v>436272.00866666663</v>
      </c>
      <c r="Z28">
        <v>3</v>
      </c>
      <c r="AA28">
        <v>12</v>
      </c>
      <c r="AB28" s="59">
        <v>2455</v>
      </c>
      <c r="AC28" s="49">
        <v>3.5</v>
      </c>
      <c r="AD28" s="51">
        <v>11896.5</v>
      </c>
      <c r="AE28" s="51">
        <v>27753</v>
      </c>
      <c r="AF28" s="51">
        <v>90640</v>
      </c>
      <c r="AG28" s="51">
        <v>22660</v>
      </c>
      <c r="AH28" s="51">
        <v>21244</v>
      </c>
      <c r="AI28" s="51">
        <v>7650</v>
      </c>
      <c r="AJ28" s="59">
        <v>44168</v>
      </c>
      <c r="AK28" s="51">
        <f t="shared" si="11"/>
        <v>662283.50866666669</v>
      </c>
      <c r="AL28" s="59">
        <v>627300</v>
      </c>
      <c r="AM28" s="51">
        <v>70000</v>
      </c>
      <c r="AN28" s="51">
        <f t="shared" si="7"/>
        <v>697300</v>
      </c>
      <c r="AO28" s="5">
        <f t="shared" si="12"/>
        <v>5.2872358854034962E-2</v>
      </c>
    </row>
    <row r="29" spans="2:41" x14ac:dyDescent="0.3">
      <c r="N29" s="26">
        <f>SUM(N7:N28)</f>
        <v>233849.8891607667</v>
      </c>
      <c r="O29" s="26"/>
      <c r="P29" s="108">
        <f>SUM(P7:P28)</f>
        <v>530.13828776999992</v>
      </c>
      <c r="Q29" s="26"/>
      <c r="R29" s="108">
        <f>SUM(R7:R28)</f>
        <v>0</v>
      </c>
    </row>
    <row r="33" spans="1:26" x14ac:dyDescent="0.3">
      <c r="A33" t="s">
        <v>69</v>
      </c>
      <c r="D33" t="s">
        <v>70</v>
      </c>
      <c r="F33" t="s">
        <v>71</v>
      </c>
      <c r="Z33" t="s">
        <v>91</v>
      </c>
    </row>
    <row r="34" spans="1:26" x14ac:dyDescent="0.3">
      <c r="A34">
        <f>(E7*X7)/1000</f>
        <v>1544.2550153333332</v>
      </c>
      <c r="D34" s="51">
        <f>E7*AK7</f>
        <v>58516203.260666676</v>
      </c>
      <c r="F34" s="51">
        <f>E7*AN7</f>
        <v>61497800</v>
      </c>
    </row>
    <row r="35" spans="1:26" x14ac:dyDescent="0.3">
      <c r="A35">
        <f t="shared" ref="A35:A55" si="14">(E8*X8)/1000</f>
        <v>1105.7746700000002</v>
      </c>
      <c r="D35" s="51">
        <f t="shared" ref="D35:D55" si="15">E8*AK8</f>
        <v>44211193.390000001</v>
      </c>
      <c r="F35" s="51">
        <f t="shared" ref="F35:F55" si="16">E8*AN8</f>
        <v>46701200</v>
      </c>
    </row>
    <row r="36" spans="1:26" x14ac:dyDescent="0.3">
      <c r="A36">
        <f t="shared" si="14"/>
        <v>1188.1094073333336</v>
      </c>
      <c r="D36" s="51">
        <f t="shared" si="15"/>
        <v>48687047.924666673</v>
      </c>
      <c r="F36" s="51">
        <f t="shared" si="16"/>
        <v>51287600</v>
      </c>
    </row>
    <row r="37" spans="1:26" x14ac:dyDescent="0.3">
      <c r="A37">
        <f t="shared" si="14"/>
        <v>151.26614533333333</v>
      </c>
      <c r="D37" s="51">
        <f t="shared" si="15"/>
        <v>14082660.470666667</v>
      </c>
      <c r="F37" s="51">
        <f t="shared" si="16"/>
        <v>35198800</v>
      </c>
    </row>
    <row r="38" spans="1:26" x14ac:dyDescent="0.3">
      <c r="A38">
        <f t="shared" si="14"/>
        <v>537.09055399999988</v>
      </c>
      <c r="D38" s="51">
        <f t="shared" si="15"/>
        <v>27370215.418000001</v>
      </c>
      <c r="F38" s="51">
        <f t="shared" si="16"/>
        <v>32228560</v>
      </c>
    </row>
    <row r="39" spans="1:26" x14ac:dyDescent="0.3">
      <c r="A39">
        <f t="shared" si="14"/>
        <v>190.997443</v>
      </c>
      <c r="D39" s="51">
        <f t="shared" si="15"/>
        <v>12177514.531000001</v>
      </c>
      <c r="F39" s="51">
        <f t="shared" si="16"/>
        <v>16980600</v>
      </c>
    </row>
    <row r="40" spans="1:26" x14ac:dyDescent="0.3">
      <c r="A40">
        <f t="shared" si="14"/>
        <v>360.453821</v>
      </c>
      <c r="D40" s="51">
        <f t="shared" si="15"/>
        <v>16896654.956999999</v>
      </c>
      <c r="F40" s="51">
        <f t="shared" si="16"/>
        <v>17785040</v>
      </c>
    </row>
    <row r="41" spans="1:26" x14ac:dyDescent="0.3">
      <c r="A41">
        <f t="shared" si="14"/>
        <v>943.01995666666664</v>
      </c>
      <c r="D41" s="51">
        <f t="shared" si="15"/>
        <v>34007843.263333336</v>
      </c>
      <c r="F41" s="51">
        <f t="shared" si="16"/>
        <v>35792120</v>
      </c>
    </row>
    <row r="42" spans="1:26" x14ac:dyDescent="0.3">
      <c r="A42">
        <f t="shared" si="14"/>
        <v>884.61973599999988</v>
      </c>
      <c r="D42" s="51">
        <f t="shared" si="15"/>
        <v>33592130.571999997</v>
      </c>
      <c r="F42" s="51">
        <f t="shared" si="16"/>
        <v>35358960</v>
      </c>
    </row>
    <row r="43" spans="1:26" x14ac:dyDescent="0.3">
      <c r="A43">
        <f t="shared" si="14"/>
        <v>318.32907166666666</v>
      </c>
      <c r="D43" s="51">
        <f t="shared" si="15"/>
        <v>15156238.218333334</v>
      </c>
      <c r="F43" s="51">
        <f t="shared" si="16"/>
        <v>16207100</v>
      </c>
    </row>
    <row r="44" spans="1:26" x14ac:dyDescent="0.3">
      <c r="A44">
        <f t="shared" si="14"/>
        <v>460.02141033333334</v>
      </c>
      <c r="D44" s="51">
        <f t="shared" si="15"/>
        <v>19221025.975666665</v>
      </c>
      <c r="F44" s="51">
        <f t="shared" si="16"/>
        <v>20229300</v>
      </c>
    </row>
    <row r="45" spans="1:26" x14ac:dyDescent="0.3">
      <c r="A45">
        <f t="shared" si="14"/>
        <v>682.61241533333327</v>
      </c>
      <c r="D45" s="51">
        <f t="shared" si="15"/>
        <v>26441051.060666665</v>
      </c>
      <c r="F45" s="51">
        <f t="shared" si="16"/>
        <v>27840540</v>
      </c>
    </row>
    <row r="46" spans="1:26" x14ac:dyDescent="0.3">
      <c r="A46">
        <f t="shared" si="14"/>
        <v>460.50010066666664</v>
      </c>
      <c r="D46" s="51">
        <f t="shared" si="15"/>
        <v>19229891.711333331</v>
      </c>
      <c r="F46" s="51">
        <f t="shared" si="16"/>
        <v>20244770</v>
      </c>
    </row>
    <row r="47" spans="1:26" x14ac:dyDescent="0.3">
      <c r="A47">
        <f t="shared" si="14"/>
        <v>528.95281833333331</v>
      </c>
      <c r="D47" s="51">
        <f t="shared" si="15"/>
        <v>21280661.371666666</v>
      </c>
      <c r="F47" s="51">
        <f t="shared" si="16"/>
        <v>22395100</v>
      </c>
    </row>
    <row r="48" spans="1:26" x14ac:dyDescent="0.3">
      <c r="A48">
        <f t="shared" si="14"/>
        <v>1154.6010839999999</v>
      </c>
      <c r="D48" s="51">
        <f t="shared" si="15"/>
        <v>57799464.267999999</v>
      </c>
      <c r="F48" s="51">
        <f t="shared" si="16"/>
        <v>64828400</v>
      </c>
    </row>
    <row r="49" spans="1:6" x14ac:dyDescent="0.3">
      <c r="A49">
        <f>(E22*X22)/1000</f>
        <v>7646.0176519999995</v>
      </c>
      <c r="D49" s="51">
        <f t="shared" si="15"/>
        <v>199495744.08399999</v>
      </c>
      <c r="F49" s="51">
        <f t="shared" si="16"/>
        <v>209919840</v>
      </c>
    </row>
    <row r="50" spans="1:6" x14ac:dyDescent="0.3">
      <c r="A50">
        <f t="shared" si="14"/>
        <v>7702.4274600000008</v>
      </c>
      <c r="D50" s="51">
        <f t="shared" si="15"/>
        <v>200557358.82000002</v>
      </c>
      <c r="F50" s="51">
        <f t="shared" si="16"/>
        <v>211033680</v>
      </c>
    </row>
    <row r="51" spans="1:6" x14ac:dyDescent="0.3">
      <c r="A51">
        <f t="shared" si="14"/>
        <v>2457.1448719999994</v>
      </c>
      <c r="D51" s="51">
        <f t="shared" si="15"/>
        <v>64416006.823999986</v>
      </c>
      <c r="F51" s="51">
        <f t="shared" si="16"/>
        <v>67798640</v>
      </c>
    </row>
    <row r="52" spans="1:6" x14ac:dyDescent="0.3">
      <c r="A52">
        <f t="shared" si="14"/>
        <v>7315.0248080000001</v>
      </c>
      <c r="D52" s="51">
        <f t="shared" si="15"/>
        <v>192877797.736</v>
      </c>
      <c r="F52" s="51">
        <f t="shared" si="16"/>
        <v>202998120</v>
      </c>
    </row>
    <row r="53" spans="1:6" x14ac:dyDescent="0.3">
      <c r="A53">
        <f t="shared" si="14"/>
        <v>7648.5063199999995</v>
      </c>
      <c r="D53" s="51">
        <f t="shared" si="15"/>
        <v>200622719.44</v>
      </c>
      <c r="F53" s="51">
        <f t="shared" si="16"/>
        <v>211192800</v>
      </c>
    </row>
    <row r="54" spans="1:6" x14ac:dyDescent="0.3">
      <c r="A54">
        <f t="shared" si="14"/>
        <v>2636.8820053333334</v>
      </c>
      <c r="D54" s="51">
        <f t="shared" si="15"/>
        <v>69238810.090666652</v>
      </c>
      <c r="F54" s="51">
        <f t="shared" si="16"/>
        <v>72917000</v>
      </c>
    </row>
    <row r="55" spans="1:6" x14ac:dyDescent="0.3">
      <c r="A55">
        <f t="shared" si="14"/>
        <v>8006.8745119999994</v>
      </c>
      <c r="D55" s="51">
        <f t="shared" si="15"/>
        <v>206632454.704</v>
      </c>
      <c r="F55" s="51">
        <f t="shared" si="16"/>
        <v>217557600</v>
      </c>
    </row>
    <row r="57" spans="1:6" x14ac:dyDescent="0.3">
      <c r="A57" t="s">
        <v>72</v>
      </c>
      <c r="D57" t="s">
        <v>72</v>
      </c>
      <c r="F57" t="s">
        <v>72</v>
      </c>
    </row>
    <row r="58" spans="1:6" x14ac:dyDescent="0.3">
      <c r="A58">
        <f>SUM(A34:A55)</f>
        <v>53923.481278333333</v>
      </c>
      <c r="D58" s="51">
        <f>SUM(D34:D55)</f>
        <v>1582510688.0916667</v>
      </c>
      <c r="F58" s="51">
        <f>SUM(F34:F55)</f>
        <v>1697993570</v>
      </c>
    </row>
  </sheetData>
  <mergeCells count="1">
    <mergeCell ref="A4:N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9C040-50C0-47E2-A917-F8304A269EB8}">
  <sheetPr>
    <tabColor rgb="FFC00000"/>
  </sheetPr>
  <dimension ref="A4:AW58"/>
  <sheetViews>
    <sheetView tabSelected="1" topLeftCell="B6" zoomScale="114" zoomScaleNormal="80" workbookViewId="0">
      <selection activeCell="J36" sqref="J36"/>
    </sheetView>
  </sheetViews>
  <sheetFormatPr defaultRowHeight="14.4" x14ac:dyDescent="0.3"/>
  <cols>
    <col min="1" max="1" width="9" bestFit="1" customWidth="1"/>
    <col min="4" max="4" width="13.88671875" bestFit="1" customWidth="1"/>
    <col min="5" max="5" width="9" bestFit="1" customWidth="1"/>
    <col min="6" max="6" width="13.88671875" bestFit="1" customWidth="1"/>
    <col min="7" max="9" width="9" bestFit="1" customWidth="1"/>
    <col min="11" max="11" width="9" bestFit="1" customWidth="1"/>
    <col min="12" max="12" width="11.109375" bestFit="1" customWidth="1"/>
    <col min="13" max="14" width="9.109375" bestFit="1" customWidth="1"/>
    <col min="15" max="18" width="9" customWidth="1"/>
    <col min="19" max="19" width="9.109375" bestFit="1" customWidth="1"/>
    <col min="20" max="20" width="9" customWidth="1"/>
    <col min="21" max="22" width="9.109375" bestFit="1" customWidth="1"/>
    <col min="23" max="23" width="8" bestFit="1" customWidth="1"/>
    <col min="24" max="24" width="15.21875" bestFit="1" customWidth="1"/>
    <col min="25" max="25" width="15.109375" customWidth="1"/>
    <col min="26" max="27" width="12.6640625" bestFit="1" customWidth="1"/>
    <col min="28" max="28" width="10.44140625" bestFit="1" customWidth="1"/>
    <col min="29" max="29" width="9" bestFit="1" customWidth="1"/>
    <col min="30" max="31" width="14.109375" bestFit="1" customWidth="1"/>
    <col min="32" max="32" width="15.109375" bestFit="1" customWidth="1"/>
    <col min="33" max="33" width="14.109375" bestFit="1" customWidth="1"/>
    <col min="34" max="34" width="11.44140625" bestFit="1" customWidth="1"/>
    <col min="35" max="35" width="14.109375" bestFit="1" customWidth="1"/>
    <col min="36" max="36" width="12.109375" bestFit="1" customWidth="1"/>
    <col min="37" max="37" width="19.6640625" customWidth="1"/>
    <col min="38" max="38" width="12.109375" bestFit="1" customWidth="1"/>
    <col min="39" max="39" width="12.44140625" bestFit="1" customWidth="1"/>
    <col min="40" max="40" width="10.5546875" bestFit="1" customWidth="1"/>
  </cols>
  <sheetData>
    <row r="4" spans="1:49" ht="26.7" customHeight="1" x14ac:dyDescent="0.5">
      <c r="A4" s="113" t="s">
        <v>89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4"/>
      <c r="AQ4" s="64"/>
      <c r="AR4" s="64"/>
      <c r="AS4" s="64"/>
      <c r="AT4" s="64"/>
      <c r="AU4" s="64"/>
      <c r="AV4" s="64"/>
      <c r="AW4" s="64"/>
    </row>
    <row r="5" spans="1:49" ht="25.8" x14ac:dyDescent="0.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44"/>
      <c r="T5" s="44"/>
      <c r="U5" s="44"/>
      <c r="V5" s="44"/>
      <c r="W5" s="44"/>
      <c r="X5" s="44"/>
      <c r="Y5" s="44"/>
      <c r="Z5" s="38" t="s">
        <v>1</v>
      </c>
      <c r="AA5" s="22"/>
      <c r="AB5" s="45"/>
      <c r="AC5" s="45"/>
      <c r="AD5" s="36"/>
      <c r="AE5" s="36"/>
      <c r="AF5" s="36"/>
      <c r="AG5" s="37" t="s">
        <v>2</v>
      </c>
      <c r="AH5" s="36"/>
      <c r="AI5" s="36"/>
      <c r="AJ5" s="36"/>
      <c r="AK5" s="36"/>
      <c r="AL5" s="39"/>
      <c r="AM5" s="40" t="s">
        <v>75</v>
      </c>
      <c r="AN5" s="39"/>
    </row>
    <row r="6" spans="1:49" ht="169.8" x14ac:dyDescent="0.3">
      <c r="B6" s="21" t="s">
        <v>4</v>
      </c>
      <c r="C6" s="21" t="s">
        <v>5</v>
      </c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1" t="s">
        <v>18</v>
      </c>
      <c r="Q6" s="21" t="s">
        <v>19</v>
      </c>
      <c r="R6" s="21" t="s">
        <v>20</v>
      </c>
      <c r="S6" s="30" t="s">
        <v>21</v>
      </c>
      <c r="T6" s="30" t="s">
        <v>22</v>
      </c>
      <c r="U6" s="30" t="s">
        <v>23</v>
      </c>
      <c r="V6" s="30" t="s">
        <v>24</v>
      </c>
      <c r="W6" s="30" t="s">
        <v>25</v>
      </c>
      <c r="X6" s="30" t="s">
        <v>89</v>
      </c>
      <c r="Y6" s="30" t="s">
        <v>90</v>
      </c>
      <c r="Z6" s="32" t="s">
        <v>31</v>
      </c>
      <c r="AA6" s="32" t="s">
        <v>32</v>
      </c>
      <c r="AB6" s="33" t="s">
        <v>30</v>
      </c>
      <c r="AC6" s="33" t="s">
        <v>33</v>
      </c>
      <c r="AD6" s="31" t="s">
        <v>1</v>
      </c>
      <c r="AE6" s="31" t="s">
        <v>34</v>
      </c>
      <c r="AF6" s="31" t="s">
        <v>35</v>
      </c>
      <c r="AG6" s="31" t="s">
        <v>36</v>
      </c>
      <c r="AH6" s="31" t="s">
        <v>37</v>
      </c>
      <c r="AI6" s="31" t="s">
        <v>38</v>
      </c>
      <c r="AJ6" s="31" t="s">
        <v>39</v>
      </c>
      <c r="AK6" s="31" t="s">
        <v>40</v>
      </c>
      <c r="AL6" s="31" t="s">
        <v>77</v>
      </c>
      <c r="AM6" s="31" t="s">
        <v>78</v>
      </c>
      <c r="AN6" s="31" t="s">
        <v>79</v>
      </c>
      <c r="AO6" s="31"/>
    </row>
    <row r="7" spans="1:49" x14ac:dyDescent="0.3">
      <c r="B7" s="27" t="s">
        <v>44</v>
      </c>
      <c r="C7" s="28" t="s">
        <v>45</v>
      </c>
      <c r="D7" s="28" t="s">
        <v>46</v>
      </c>
      <c r="E7" s="29">
        <f>7*52*2</f>
        <v>728</v>
      </c>
      <c r="F7" s="28">
        <f t="shared" ref="F7:F28" si="0">E7/2</f>
        <v>364</v>
      </c>
      <c r="G7" s="28">
        <f t="shared" ref="G7:G28" si="1">E7</f>
        <v>728</v>
      </c>
      <c r="H7" s="28">
        <f>_xlfn.XLOOKUP(B7,'[1]Baseline 2025'!$B:$B,'[1]Baseline 2025'!$C:$C)</f>
        <v>1613</v>
      </c>
      <c r="I7" s="28">
        <f t="shared" ref="I7:I28" si="2">E7*H7</f>
        <v>1174264</v>
      </c>
      <c r="J7" s="28" t="str">
        <f>_xlfn.XLOOKUP(B7,'[1]Baseline 2025'!$B:$B,'[1]Baseline 2025'!$E:$E)</f>
        <v>Short Haul</v>
      </c>
      <c r="K7" s="28">
        <f>_xlfn.XLOOKUP(B7,'[1]Baseline 2025'!$B:$B,'[1]Baseline 2025'!$I:$I)/100</f>
        <v>43095.488799999999</v>
      </c>
      <c r="L7" s="28">
        <f>(K7*100)*43/120</f>
        <v>1544255.0153333333</v>
      </c>
      <c r="M7" s="28">
        <v>3.97</v>
      </c>
      <c r="N7" s="28">
        <f t="shared" ref="N7:N28" si="3">(L7*M7)/1000</f>
        <v>6130.6924108733328</v>
      </c>
      <c r="O7" s="28">
        <f t="shared" ref="O7:O28" si="4">9/1000</f>
        <v>8.9999999999999993E-3</v>
      </c>
      <c r="P7" s="106">
        <f>(O7*L7)/1000</f>
        <v>13.898295137999998</v>
      </c>
      <c r="Q7" s="106">
        <v>0</v>
      </c>
      <c r="R7" s="106">
        <f t="shared" ref="R7:R28" si="5">Q7*L7</f>
        <v>0</v>
      </c>
      <c r="S7">
        <v>100</v>
      </c>
      <c r="T7">
        <f>G7*S7*assumptions!$D$6</f>
        <v>61880</v>
      </c>
      <c r="U7">
        <v>10.9</v>
      </c>
      <c r="V7" s="57">
        <v>0.1111111111111111</v>
      </c>
      <c r="W7" s="48">
        <v>5919.71</v>
      </c>
      <c r="X7" s="48">
        <f t="shared" ref="X7:X28" si="6">W7*43/120</f>
        <v>2121.2294166666666</v>
      </c>
      <c r="Y7" s="65">
        <f t="shared" ref="Y7:Y28" si="7">X7*6</f>
        <v>12727.376499999998</v>
      </c>
      <c r="Z7">
        <v>2</v>
      </c>
      <c r="AA7">
        <v>3</v>
      </c>
      <c r="AB7" s="59">
        <v>545</v>
      </c>
      <c r="AC7" s="49">
        <v>3.5</v>
      </c>
      <c r="AD7" s="51">
        <v>1201.5</v>
      </c>
      <c r="AE7" s="51">
        <v>6845</v>
      </c>
      <c r="AF7" s="51">
        <v>21360</v>
      </c>
      <c r="AG7" s="51">
        <v>5340</v>
      </c>
      <c r="AH7" s="51">
        <v>1669</v>
      </c>
      <c r="AI7" s="51">
        <v>2550</v>
      </c>
      <c r="AJ7" s="59">
        <v>5353</v>
      </c>
      <c r="AK7" s="51">
        <f t="shared" ref="AK7:AK28" si="8">Y7+AD7+AE7+AF7+AG7+AH7+AI7+AJ7</f>
        <v>57045.876499999998</v>
      </c>
      <c r="AL7" s="59">
        <v>46325</v>
      </c>
      <c r="AM7" s="51">
        <v>38150</v>
      </c>
      <c r="AN7" s="51">
        <f t="shared" ref="AN7:AN28" si="9">AL7+AM7</f>
        <v>84475</v>
      </c>
      <c r="AO7" s="5"/>
    </row>
    <row r="8" spans="1:49" x14ac:dyDescent="0.3">
      <c r="B8" s="27" t="s">
        <v>47</v>
      </c>
      <c r="C8" s="28" t="s">
        <v>45</v>
      </c>
      <c r="D8" s="28" t="s">
        <v>46</v>
      </c>
      <c r="E8" s="29">
        <f>7*52*2</f>
        <v>728</v>
      </c>
      <c r="F8" s="28">
        <f t="shared" si="0"/>
        <v>364</v>
      </c>
      <c r="G8" s="28">
        <f t="shared" si="1"/>
        <v>728</v>
      </c>
      <c r="H8" s="28">
        <f>_xlfn.XLOOKUP(B8,'[1]Baseline 2025'!$B:$B,'[1]Baseline 2025'!$C:$C)</f>
        <v>1155</v>
      </c>
      <c r="I8" s="28">
        <f t="shared" si="2"/>
        <v>840840</v>
      </c>
      <c r="J8" s="28" t="str">
        <f>_xlfn.XLOOKUP(B8,'[1]Baseline 2025'!$B:$B,'[1]Baseline 2025'!$E:$E)</f>
        <v>Short Haul</v>
      </c>
      <c r="K8" s="28">
        <f>_xlfn.XLOOKUP(B8,'[1]Baseline 2025'!$B:$B,'[1]Baseline 2025'!$I:$I)/100</f>
        <v>30858.828000000001</v>
      </c>
      <c r="L8" s="28">
        <f t="shared" ref="L8:L28" si="10">(K8*100)*43/120</f>
        <v>1105774.6700000002</v>
      </c>
      <c r="M8" s="28">
        <v>3.97</v>
      </c>
      <c r="N8" s="28">
        <f t="shared" si="3"/>
        <v>4389.9254399000001</v>
      </c>
      <c r="O8" s="28">
        <f t="shared" si="4"/>
        <v>8.9999999999999993E-3</v>
      </c>
      <c r="P8" s="106">
        <f t="shared" ref="P8:P28" si="11">(O8*L8)/1000</f>
        <v>9.9519720300000003</v>
      </c>
      <c r="Q8" s="106">
        <v>0</v>
      </c>
      <c r="R8" s="106">
        <f t="shared" si="5"/>
        <v>0</v>
      </c>
      <c r="S8">
        <v>100</v>
      </c>
      <c r="T8">
        <f>G8*S8*assumptions!$D$6</f>
        <v>61880</v>
      </c>
      <c r="U8">
        <v>10.9</v>
      </c>
      <c r="V8" s="57">
        <v>8.3333333333333329E-2</v>
      </c>
      <c r="W8" s="48">
        <v>4238.8500000000004</v>
      </c>
      <c r="X8" s="48">
        <f t="shared" si="6"/>
        <v>1518.9212500000001</v>
      </c>
      <c r="Y8" s="65">
        <f t="shared" si="7"/>
        <v>9113.5275000000001</v>
      </c>
      <c r="Z8">
        <v>2</v>
      </c>
      <c r="AA8">
        <v>3</v>
      </c>
      <c r="AB8" s="59">
        <v>370</v>
      </c>
      <c r="AC8" s="49">
        <v>3</v>
      </c>
      <c r="AD8" s="51">
        <v>900</v>
      </c>
      <c r="AE8" s="51">
        <v>6158</v>
      </c>
      <c r="AF8" s="51">
        <v>16000</v>
      </c>
      <c r="AG8" s="51">
        <v>4000</v>
      </c>
      <c r="AH8" s="51">
        <v>1250</v>
      </c>
      <c r="AI8" s="51">
        <v>2550</v>
      </c>
      <c r="AJ8" s="59">
        <v>4050</v>
      </c>
      <c r="AK8" s="51">
        <f t="shared" si="8"/>
        <v>44021.527499999997</v>
      </c>
      <c r="AL8" s="59">
        <v>31450</v>
      </c>
      <c r="AM8" s="51">
        <v>32700</v>
      </c>
      <c r="AN8" s="51">
        <f t="shared" si="9"/>
        <v>64150</v>
      </c>
      <c r="AO8" s="5"/>
    </row>
    <row r="9" spans="1:49" x14ac:dyDescent="0.3">
      <c r="B9" s="27" t="s">
        <v>48</v>
      </c>
      <c r="C9" s="28" t="s">
        <v>45</v>
      </c>
      <c r="D9" s="28" t="s">
        <v>46</v>
      </c>
      <c r="E9" s="29">
        <f>7*52*2</f>
        <v>728</v>
      </c>
      <c r="F9" s="28">
        <f t="shared" si="0"/>
        <v>364</v>
      </c>
      <c r="G9" s="28">
        <f t="shared" si="1"/>
        <v>728</v>
      </c>
      <c r="H9" s="28">
        <f>_xlfn.XLOOKUP(B9,'[1]Baseline 2025'!$B:$B,'[1]Baseline 2025'!$C:$C)</f>
        <v>1241</v>
      </c>
      <c r="I9" s="28">
        <f t="shared" si="2"/>
        <v>903448</v>
      </c>
      <c r="J9" s="28" t="str">
        <f>_xlfn.XLOOKUP(B9,'[1]Baseline 2025'!$B:$B,'[1]Baseline 2025'!$E:$E)</f>
        <v>Short Haul</v>
      </c>
      <c r="K9" s="28">
        <f>_xlfn.XLOOKUP(B9,'[1]Baseline 2025'!$B:$B,'[1]Baseline 2025'!$I:$I)/100</f>
        <v>33156.541600000004</v>
      </c>
      <c r="L9" s="28">
        <f t="shared" si="10"/>
        <v>1188109.4073333335</v>
      </c>
      <c r="M9" s="28">
        <v>3.97</v>
      </c>
      <c r="N9" s="28">
        <f t="shared" si="3"/>
        <v>4716.7943471133349</v>
      </c>
      <c r="O9" s="28">
        <f t="shared" si="4"/>
        <v>8.9999999999999993E-3</v>
      </c>
      <c r="P9" s="106">
        <f t="shared" si="11"/>
        <v>10.692984666000001</v>
      </c>
      <c r="Q9" s="106">
        <v>0</v>
      </c>
      <c r="R9" s="106">
        <f t="shared" si="5"/>
        <v>0</v>
      </c>
      <c r="S9">
        <v>100</v>
      </c>
      <c r="T9">
        <f>G9*S9*assumptions!$D$6</f>
        <v>61880</v>
      </c>
      <c r="U9">
        <v>10.9</v>
      </c>
      <c r="V9" s="57">
        <v>9.7222222222222224E-2</v>
      </c>
      <c r="W9" s="48">
        <v>4554.47</v>
      </c>
      <c r="X9" s="48">
        <f t="shared" si="6"/>
        <v>1632.0184166666668</v>
      </c>
      <c r="Y9" s="65">
        <f t="shared" si="7"/>
        <v>9792.1105000000007</v>
      </c>
      <c r="Z9">
        <v>2</v>
      </c>
      <c r="AA9">
        <v>3</v>
      </c>
      <c r="AB9" s="59">
        <v>380</v>
      </c>
      <c r="AC9" s="49">
        <v>3.5</v>
      </c>
      <c r="AD9" s="51">
        <v>1048.5</v>
      </c>
      <c r="AE9" s="51">
        <v>6287</v>
      </c>
      <c r="AF9" s="51">
        <v>18664</v>
      </c>
      <c r="AG9" s="51">
        <v>4666</v>
      </c>
      <c r="AH9" s="51">
        <v>1458</v>
      </c>
      <c r="AI9" s="51">
        <v>2550</v>
      </c>
      <c r="AJ9" s="59">
        <v>4460</v>
      </c>
      <c r="AK9" s="51">
        <f t="shared" si="8"/>
        <v>48925.610500000003</v>
      </c>
      <c r="AL9" s="59">
        <v>32300</v>
      </c>
      <c r="AM9" s="51">
        <v>38150</v>
      </c>
      <c r="AN9" s="51">
        <f t="shared" si="9"/>
        <v>70450</v>
      </c>
      <c r="AO9" s="5"/>
    </row>
    <row r="10" spans="1:49" x14ac:dyDescent="0.3">
      <c r="B10" s="27" t="s">
        <v>49</v>
      </c>
      <c r="C10" s="28" t="s">
        <v>45</v>
      </c>
      <c r="D10" s="28" t="s">
        <v>46</v>
      </c>
      <c r="E10" s="29">
        <f>14*52</f>
        <v>728</v>
      </c>
      <c r="F10" s="28">
        <f t="shared" si="0"/>
        <v>364</v>
      </c>
      <c r="G10" s="28">
        <f t="shared" si="1"/>
        <v>728</v>
      </c>
      <c r="H10" s="28">
        <f>_xlfn.XLOOKUP(B10,'[1]Baseline 2025'!$B:$B,'[1]Baseline 2025'!$C:$C)</f>
        <v>158</v>
      </c>
      <c r="I10" s="28">
        <f t="shared" si="2"/>
        <v>115024</v>
      </c>
      <c r="J10" s="28" t="str">
        <f>_xlfn.XLOOKUP(B10,'[1]Baseline 2025'!$B:$B,'[1]Baseline 2025'!$E:$E)</f>
        <v>Short Haul</v>
      </c>
      <c r="K10" s="28">
        <f>_xlfn.XLOOKUP(B10,'[1]Baseline 2025'!$B:$B,'[1]Baseline 2025'!$I:$I)/100</f>
        <v>8442.7615999999998</v>
      </c>
      <c r="L10" s="28">
        <f t="shared" si="10"/>
        <v>302532.2906666667</v>
      </c>
      <c r="M10" s="28">
        <v>3.97</v>
      </c>
      <c r="N10" s="28">
        <f t="shared" si="3"/>
        <v>1201.0531939466669</v>
      </c>
      <c r="O10" s="28">
        <f t="shared" si="4"/>
        <v>8.9999999999999993E-3</v>
      </c>
      <c r="P10" s="106">
        <f t="shared" si="11"/>
        <v>2.7227906160000002</v>
      </c>
      <c r="Q10" s="106">
        <v>0</v>
      </c>
      <c r="R10" s="106">
        <f t="shared" si="5"/>
        <v>0</v>
      </c>
      <c r="S10">
        <v>100</v>
      </c>
      <c r="T10">
        <f>G10*S10*assumptions!$D$6</f>
        <v>61880</v>
      </c>
      <c r="U10">
        <v>10.9</v>
      </c>
      <c r="V10" s="57">
        <v>2.7777777777777776E-2</v>
      </c>
      <c r="W10" s="48">
        <v>579.86</v>
      </c>
      <c r="X10" s="48">
        <f t="shared" si="6"/>
        <v>207.78316666666666</v>
      </c>
      <c r="Y10" s="65">
        <f t="shared" si="7"/>
        <v>1246.6990000000001</v>
      </c>
      <c r="Z10">
        <v>2</v>
      </c>
      <c r="AA10">
        <v>3</v>
      </c>
      <c r="AB10" s="59">
        <v>120</v>
      </c>
      <c r="AC10" s="49">
        <v>3.5</v>
      </c>
      <c r="AD10" s="51">
        <v>297</v>
      </c>
      <c r="AE10" s="51">
        <v>4662</v>
      </c>
      <c r="AF10" s="51">
        <v>5280</v>
      </c>
      <c r="AG10" s="51">
        <v>1320</v>
      </c>
      <c r="AH10" s="51">
        <v>413</v>
      </c>
      <c r="AI10" s="51">
        <v>2550</v>
      </c>
      <c r="AJ10" s="59">
        <v>1290</v>
      </c>
      <c r="AK10" s="51">
        <f t="shared" si="8"/>
        <v>17058.699000000001</v>
      </c>
      <c r="AL10" s="59">
        <v>10200</v>
      </c>
      <c r="AM10" s="51">
        <v>38150</v>
      </c>
      <c r="AN10" s="51">
        <f t="shared" si="9"/>
        <v>48350</v>
      </c>
      <c r="AO10" s="5"/>
    </row>
    <row r="11" spans="1:49" x14ac:dyDescent="0.3">
      <c r="B11" s="27" t="s">
        <v>50</v>
      </c>
      <c r="C11" s="28" t="s">
        <v>45</v>
      </c>
      <c r="D11" s="28" t="s">
        <v>46</v>
      </c>
      <c r="E11" s="29">
        <f>7*52*2</f>
        <v>728</v>
      </c>
      <c r="F11" s="28">
        <f t="shared" si="0"/>
        <v>364</v>
      </c>
      <c r="G11" s="28">
        <f t="shared" si="1"/>
        <v>728</v>
      </c>
      <c r="H11" s="28">
        <f>_xlfn.XLOOKUP(B11,'[1]Baseline 2025'!$B:$B,'[1]Baseline 2025'!$C:$C)</f>
        <v>561</v>
      </c>
      <c r="I11" s="28">
        <f t="shared" si="2"/>
        <v>408408</v>
      </c>
      <c r="J11" s="28" t="str">
        <f>_xlfn.XLOOKUP(B11,'[1]Baseline 2025'!$B:$B,'[1]Baseline 2025'!$E:$E)</f>
        <v>Short Haul</v>
      </c>
      <c r="K11" s="28">
        <f>_xlfn.XLOOKUP(B11,'[1]Baseline 2025'!$B:$B,'[1]Baseline 2025'!$I:$I)/100</f>
        <v>14988.573600000002</v>
      </c>
      <c r="L11" s="28">
        <f t="shared" si="10"/>
        <v>537090.554</v>
      </c>
      <c r="M11" s="28">
        <v>3.97</v>
      </c>
      <c r="N11" s="28">
        <f t="shared" si="3"/>
        <v>2132.2494993800001</v>
      </c>
      <c r="O11" s="28">
        <f t="shared" si="4"/>
        <v>8.9999999999999993E-3</v>
      </c>
      <c r="P11" s="106">
        <f t="shared" si="11"/>
        <v>4.8338149859999993</v>
      </c>
      <c r="Q11" s="106">
        <v>0</v>
      </c>
      <c r="R11" s="106">
        <f t="shared" si="5"/>
        <v>0</v>
      </c>
      <c r="S11">
        <v>100</v>
      </c>
      <c r="T11">
        <f>G11*S11*assumptions!$D$6</f>
        <v>61880</v>
      </c>
      <c r="U11">
        <v>10.9</v>
      </c>
      <c r="V11" s="57">
        <v>5.5555555555555552E-2</v>
      </c>
      <c r="W11" s="48">
        <v>2058.87</v>
      </c>
      <c r="X11" s="48">
        <f t="shared" si="6"/>
        <v>737.76174999999989</v>
      </c>
      <c r="Y11" s="65">
        <f t="shared" si="7"/>
        <v>4426.5704999999998</v>
      </c>
      <c r="Z11">
        <v>2</v>
      </c>
      <c r="AA11">
        <v>3</v>
      </c>
      <c r="AB11" s="59">
        <v>72</v>
      </c>
      <c r="AC11" s="49">
        <v>3.5</v>
      </c>
      <c r="AD11" s="51">
        <v>598.5</v>
      </c>
      <c r="AE11" s="51">
        <v>5267</v>
      </c>
      <c r="AF11" s="51">
        <v>10640</v>
      </c>
      <c r="AG11" s="51">
        <v>2660</v>
      </c>
      <c r="AH11" s="51">
        <v>831</v>
      </c>
      <c r="AI11" s="51">
        <v>2550</v>
      </c>
      <c r="AJ11" s="59">
        <v>2508</v>
      </c>
      <c r="AK11" s="51">
        <f t="shared" si="8"/>
        <v>29481.070500000002</v>
      </c>
      <c r="AL11" s="59">
        <v>6120</v>
      </c>
      <c r="AM11" s="51">
        <v>38150</v>
      </c>
      <c r="AN11" s="51">
        <f t="shared" si="9"/>
        <v>44270</v>
      </c>
      <c r="AO11" s="5"/>
    </row>
    <row r="12" spans="1:49" x14ac:dyDescent="0.3">
      <c r="B12" s="27" t="s">
        <v>51</v>
      </c>
      <c r="C12" s="28" t="s">
        <v>45</v>
      </c>
      <c r="D12" s="28" t="s">
        <v>46</v>
      </c>
      <c r="E12" s="29">
        <f t="shared" ref="E12:E20" si="12">7*52</f>
        <v>364</v>
      </c>
      <c r="F12" s="28">
        <f t="shared" si="0"/>
        <v>182</v>
      </c>
      <c r="G12" s="28">
        <f t="shared" si="1"/>
        <v>364</v>
      </c>
      <c r="H12" s="28">
        <f>_xlfn.XLOOKUP(B12,'[1]Baseline 2025'!$B:$B,'[1]Baseline 2025'!$C:$C)</f>
        <v>399</v>
      </c>
      <c r="I12" s="28">
        <f t="shared" si="2"/>
        <v>145236</v>
      </c>
      <c r="J12" s="28" t="str">
        <f>_xlfn.XLOOKUP(B12,'[1]Baseline 2025'!$B:$B,'[1]Baseline 2025'!$E:$E)</f>
        <v>Short Haul</v>
      </c>
      <c r="K12" s="28">
        <f>_xlfn.XLOOKUP(B12,'[1]Baseline 2025'!$B:$B,'[1]Baseline 2025'!$I:$I)/100</f>
        <v>10660.322399999999</v>
      </c>
      <c r="L12" s="28">
        <f t="shared" si="10"/>
        <v>381994.886</v>
      </c>
      <c r="M12" s="28">
        <v>3.97</v>
      </c>
      <c r="N12" s="28">
        <f t="shared" si="3"/>
        <v>1516.5196974200001</v>
      </c>
      <c r="O12" s="28">
        <f t="shared" si="4"/>
        <v>8.9999999999999993E-3</v>
      </c>
      <c r="P12" s="106">
        <f t="shared" si="11"/>
        <v>3.4379539739999996</v>
      </c>
      <c r="Q12" s="106">
        <v>0</v>
      </c>
      <c r="R12" s="106">
        <f t="shared" si="5"/>
        <v>0</v>
      </c>
      <c r="S12">
        <v>100</v>
      </c>
      <c r="T12">
        <f>G12*S12*assumptions!$D$6</f>
        <v>30940</v>
      </c>
      <c r="U12">
        <v>10.9</v>
      </c>
      <c r="V12" s="57">
        <v>5.5555555555555552E-2</v>
      </c>
      <c r="W12" s="48">
        <v>1464.33</v>
      </c>
      <c r="X12" s="48">
        <f t="shared" si="6"/>
        <v>524.71825000000001</v>
      </c>
      <c r="Y12" s="65">
        <f t="shared" si="7"/>
        <v>3148.3095000000003</v>
      </c>
      <c r="Z12">
        <v>2</v>
      </c>
      <c r="AA12">
        <v>3</v>
      </c>
      <c r="AB12" s="59">
        <v>100</v>
      </c>
      <c r="AC12" s="49">
        <v>3.5</v>
      </c>
      <c r="AD12" s="51">
        <v>598.5</v>
      </c>
      <c r="AE12" s="51">
        <v>5024</v>
      </c>
      <c r="AF12" s="51">
        <v>10640</v>
      </c>
      <c r="AG12" s="51">
        <v>2660</v>
      </c>
      <c r="AH12" s="51">
        <v>831</v>
      </c>
      <c r="AI12" s="51">
        <v>2550</v>
      </c>
      <c r="AJ12" s="59">
        <v>2231</v>
      </c>
      <c r="AK12" s="51">
        <f t="shared" si="8"/>
        <v>27682.809499999999</v>
      </c>
      <c r="AL12" s="59">
        <v>8500</v>
      </c>
      <c r="AM12" s="51">
        <v>38150</v>
      </c>
      <c r="AN12" s="51">
        <f t="shared" si="9"/>
        <v>46650</v>
      </c>
      <c r="AO12" s="5"/>
    </row>
    <row r="13" spans="1:49" x14ac:dyDescent="0.3">
      <c r="B13" s="27" t="s">
        <v>52</v>
      </c>
      <c r="C13" s="28" t="s">
        <v>45</v>
      </c>
      <c r="D13" s="28" t="s">
        <v>46</v>
      </c>
      <c r="E13" s="29">
        <f t="shared" si="12"/>
        <v>364</v>
      </c>
      <c r="F13" s="28">
        <f t="shared" si="0"/>
        <v>182</v>
      </c>
      <c r="G13" s="28">
        <f t="shared" si="1"/>
        <v>364</v>
      </c>
      <c r="H13" s="28">
        <f>_xlfn.XLOOKUP(B13,'[1]Baseline 2025'!$B:$B,'[1]Baseline 2025'!$C:$C)</f>
        <v>753</v>
      </c>
      <c r="I13" s="28">
        <f t="shared" si="2"/>
        <v>274092</v>
      </c>
      <c r="J13" s="28" t="str">
        <f>_xlfn.XLOOKUP(B13,'[1]Baseline 2025'!$B:$B,'[1]Baseline 2025'!$E:$E)</f>
        <v>Short Haul</v>
      </c>
      <c r="K13" s="28">
        <f>_xlfn.XLOOKUP(B13,'[1]Baseline 2025'!$B:$B,'[1]Baseline 2025'!$I:$I)/100</f>
        <v>20118.352800000001</v>
      </c>
      <c r="L13" s="28">
        <f t="shared" si="10"/>
        <v>720907.64200000011</v>
      </c>
      <c r="M13" s="28">
        <v>3.97</v>
      </c>
      <c r="N13" s="28">
        <f t="shared" si="3"/>
        <v>2862.0033387400003</v>
      </c>
      <c r="O13" s="28">
        <f t="shared" si="4"/>
        <v>8.9999999999999993E-3</v>
      </c>
      <c r="P13" s="106">
        <f t="shared" si="11"/>
        <v>6.4881687780000004</v>
      </c>
      <c r="Q13" s="106">
        <v>0</v>
      </c>
      <c r="R13" s="106">
        <f t="shared" si="5"/>
        <v>0</v>
      </c>
      <c r="S13">
        <v>100</v>
      </c>
      <c r="T13">
        <f>G13*S13*assumptions!$D$6</f>
        <v>30940</v>
      </c>
      <c r="U13">
        <v>10.9</v>
      </c>
      <c r="V13" s="57">
        <v>6.9444444444444448E-2</v>
      </c>
      <c r="W13" s="48">
        <v>2763.5099999999998</v>
      </c>
      <c r="X13" s="48">
        <f t="shared" si="6"/>
        <v>990.25774999999999</v>
      </c>
      <c r="Y13" s="65">
        <f t="shared" si="7"/>
        <v>5941.5465000000004</v>
      </c>
      <c r="Z13">
        <v>2</v>
      </c>
      <c r="AA13">
        <v>3</v>
      </c>
      <c r="AB13" s="59">
        <v>126</v>
      </c>
      <c r="AC13" s="49">
        <v>3.5</v>
      </c>
      <c r="AD13" s="51">
        <v>747</v>
      </c>
      <c r="AE13" s="51">
        <v>5555</v>
      </c>
      <c r="AF13" s="51">
        <v>13280</v>
      </c>
      <c r="AG13" s="51">
        <v>3320</v>
      </c>
      <c r="AH13" s="51">
        <v>1038</v>
      </c>
      <c r="AI13" s="51">
        <v>2550</v>
      </c>
      <c r="AJ13" s="59">
        <v>3095</v>
      </c>
      <c r="AK13" s="51">
        <f t="shared" si="8"/>
        <v>35526.546499999997</v>
      </c>
      <c r="AL13" s="59">
        <v>10710</v>
      </c>
      <c r="AM13" s="51">
        <v>38150</v>
      </c>
      <c r="AN13" s="51">
        <f t="shared" si="9"/>
        <v>48860</v>
      </c>
      <c r="AO13" s="5"/>
    </row>
    <row r="14" spans="1:49" x14ac:dyDescent="0.3">
      <c r="B14" s="27" t="s">
        <v>53</v>
      </c>
      <c r="C14" s="28" t="s">
        <v>45</v>
      </c>
      <c r="D14" s="28" t="s">
        <v>46</v>
      </c>
      <c r="E14" s="29">
        <f t="shared" si="12"/>
        <v>364</v>
      </c>
      <c r="F14" s="28">
        <f t="shared" si="0"/>
        <v>182</v>
      </c>
      <c r="G14" s="28">
        <f t="shared" si="1"/>
        <v>364</v>
      </c>
      <c r="H14" s="28">
        <f>_xlfn.XLOOKUP(B14,'[1]Baseline 2025'!$B:$B,'[1]Baseline 2025'!$C:$C)</f>
        <v>1970</v>
      </c>
      <c r="I14" s="28">
        <f t="shared" si="2"/>
        <v>717080</v>
      </c>
      <c r="J14" s="28" t="str">
        <f>_xlfn.XLOOKUP(B14,'[1]Baseline 2025'!$B:$B,'[1]Baseline 2025'!$E:$E)</f>
        <v>Short Haul</v>
      </c>
      <c r="K14" s="28">
        <f>_xlfn.XLOOKUP(B14,'[1]Baseline 2025'!$B:$B,'[1]Baseline 2025'!$I:$I)/100</f>
        <v>52633.671999999991</v>
      </c>
      <c r="L14" s="28">
        <f t="shared" si="10"/>
        <v>1886039.9133333331</v>
      </c>
      <c r="M14" s="28">
        <v>3.97</v>
      </c>
      <c r="N14" s="28">
        <f t="shared" si="3"/>
        <v>7487.5784559333324</v>
      </c>
      <c r="O14" s="28">
        <f t="shared" si="4"/>
        <v>8.9999999999999993E-3</v>
      </c>
      <c r="P14" s="106">
        <f t="shared" si="11"/>
        <v>16.974359219999993</v>
      </c>
      <c r="Q14" s="106">
        <v>0</v>
      </c>
      <c r="R14" s="106">
        <f t="shared" si="5"/>
        <v>0</v>
      </c>
      <c r="S14">
        <v>100</v>
      </c>
      <c r="T14">
        <f>G14*S14*assumptions!$D$6</f>
        <v>30940</v>
      </c>
      <c r="U14">
        <v>10.9</v>
      </c>
      <c r="V14" s="57">
        <v>0.125</v>
      </c>
      <c r="W14" s="48">
        <v>7229.9</v>
      </c>
      <c r="X14" s="48">
        <f t="shared" si="6"/>
        <v>2590.7141666666666</v>
      </c>
      <c r="Y14" s="65">
        <f t="shared" si="7"/>
        <v>15544.285</v>
      </c>
      <c r="Z14">
        <v>2</v>
      </c>
      <c r="AA14">
        <v>3</v>
      </c>
      <c r="AB14" s="59">
        <v>708</v>
      </c>
      <c r="AC14" s="49">
        <v>3.5</v>
      </c>
      <c r="AD14" s="51">
        <v>1350</v>
      </c>
      <c r="AE14" s="51">
        <v>7380</v>
      </c>
      <c r="AF14" s="51">
        <v>24000</v>
      </c>
      <c r="AG14" s="51">
        <v>6000</v>
      </c>
      <c r="AH14" s="51">
        <v>1875</v>
      </c>
      <c r="AI14" s="51">
        <v>2550</v>
      </c>
      <c r="AJ14" s="59">
        <v>6231</v>
      </c>
      <c r="AK14" s="51">
        <f t="shared" si="8"/>
        <v>64930.285000000003</v>
      </c>
      <c r="AL14" s="59">
        <v>60180</v>
      </c>
      <c r="AM14" s="51">
        <v>38150</v>
      </c>
      <c r="AN14" s="51">
        <f t="shared" si="9"/>
        <v>98330</v>
      </c>
      <c r="AO14" s="5"/>
    </row>
    <row r="15" spans="1:49" x14ac:dyDescent="0.3">
      <c r="B15" s="27" t="s">
        <v>54</v>
      </c>
      <c r="C15" s="28" t="s">
        <v>45</v>
      </c>
      <c r="D15" s="28" t="s">
        <v>46</v>
      </c>
      <c r="E15" s="29">
        <f t="shared" si="12"/>
        <v>364</v>
      </c>
      <c r="F15" s="28">
        <f t="shared" si="0"/>
        <v>182</v>
      </c>
      <c r="G15" s="28">
        <f t="shared" si="1"/>
        <v>364</v>
      </c>
      <c r="H15" s="28">
        <f>_xlfn.XLOOKUP(B15,'[1]Baseline 2025'!$B:$B,'[1]Baseline 2025'!$C:$C)</f>
        <v>1848</v>
      </c>
      <c r="I15" s="28">
        <f t="shared" si="2"/>
        <v>672672</v>
      </c>
      <c r="J15" s="28" t="str">
        <f>_xlfn.XLOOKUP(B15,'[1]Baseline 2025'!$B:$B,'[1]Baseline 2025'!$E:$E)</f>
        <v>Short Haul</v>
      </c>
      <c r="K15" s="28">
        <f>_xlfn.XLOOKUP(B15,'[1]Baseline 2025'!$B:$B,'[1]Baseline 2025'!$I:$I)/100</f>
        <v>49374.124799999998</v>
      </c>
      <c r="L15" s="28">
        <f t="shared" si="10"/>
        <v>1769239.4719999998</v>
      </c>
      <c r="M15" s="28">
        <v>3.97</v>
      </c>
      <c r="N15" s="28">
        <f t="shared" si="3"/>
        <v>7023.88070384</v>
      </c>
      <c r="O15" s="28">
        <f t="shared" si="4"/>
        <v>8.9999999999999993E-3</v>
      </c>
      <c r="P15" s="106">
        <f t="shared" si="11"/>
        <v>15.923155247999997</v>
      </c>
      <c r="Q15" s="106">
        <v>0</v>
      </c>
      <c r="R15" s="106">
        <f t="shared" si="5"/>
        <v>0</v>
      </c>
      <c r="S15">
        <v>100</v>
      </c>
      <c r="T15">
        <f>G15*S15*assumptions!$D$6</f>
        <v>30940</v>
      </c>
      <c r="U15">
        <v>10.9</v>
      </c>
      <c r="V15" s="57">
        <v>0.13194444444444445</v>
      </c>
      <c r="W15" s="48">
        <v>6782.16</v>
      </c>
      <c r="X15" s="48">
        <f t="shared" si="6"/>
        <v>2430.2739999999999</v>
      </c>
      <c r="Y15" s="65">
        <f t="shared" si="7"/>
        <v>14581.644</v>
      </c>
      <c r="Z15">
        <v>2</v>
      </c>
      <c r="AA15">
        <v>3</v>
      </c>
      <c r="AB15" s="59">
        <v>694</v>
      </c>
      <c r="AC15" s="49">
        <v>3.5</v>
      </c>
      <c r="AD15" s="51">
        <v>1425.0150000000001</v>
      </c>
      <c r="AE15" s="51">
        <v>7197</v>
      </c>
      <c r="AF15" s="51">
        <v>25333</v>
      </c>
      <c r="AG15" s="51">
        <v>6333.4</v>
      </c>
      <c r="AH15" s="51">
        <v>1979</v>
      </c>
      <c r="AI15" s="51">
        <v>2550</v>
      </c>
      <c r="AJ15" s="59">
        <v>6154</v>
      </c>
      <c r="AK15" s="51">
        <f t="shared" si="8"/>
        <v>65553.059000000008</v>
      </c>
      <c r="AL15" s="59">
        <v>58990</v>
      </c>
      <c r="AM15" s="51">
        <v>38150</v>
      </c>
      <c r="AN15" s="51">
        <f t="shared" si="9"/>
        <v>97140</v>
      </c>
      <c r="AO15" s="5"/>
    </row>
    <row r="16" spans="1:49" x14ac:dyDescent="0.3">
      <c r="B16" s="27" t="s">
        <v>55</v>
      </c>
      <c r="C16" s="28" t="s">
        <v>45</v>
      </c>
      <c r="D16" s="28" t="s">
        <v>46</v>
      </c>
      <c r="E16" s="29">
        <f t="shared" si="12"/>
        <v>364</v>
      </c>
      <c r="F16" s="28">
        <f t="shared" si="0"/>
        <v>182</v>
      </c>
      <c r="G16" s="28">
        <f t="shared" si="1"/>
        <v>364</v>
      </c>
      <c r="H16" s="28">
        <f>_xlfn.XLOOKUP(B16,'[1]Baseline 2025'!$B:$B,'[1]Baseline 2025'!$C:$C)</f>
        <v>665</v>
      </c>
      <c r="I16" s="28">
        <f t="shared" si="2"/>
        <v>242060</v>
      </c>
      <c r="J16" s="28" t="str">
        <f>_xlfn.XLOOKUP(B16,'[1]Baseline 2025'!$B:$B,'[1]Baseline 2025'!$E:$E)</f>
        <v>Short Haul</v>
      </c>
      <c r="K16" s="28">
        <f>_xlfn.XLOOKUP(B16,'[1]Baseline 2025'!$B:$B,'[1]Baseline 2025'!$I:$I)/100</f>
        <v>17767.203999999998</v>
      </c>
      <c r="L16" s="28">
        <f t="shared" si="10"/>
        <v>636658.14333333331</v>
      </c>
      <c r="M16" s="28">
        <v>3.97</v>
      </c>
      <c r="N16" s="28">
        <f t="shared" si="3"/>
        <v>2527.5328290333332</v>
      </c>
      <c r="O16" s="28">
        <f t="shared" si="4"/>
        <v>8.9999999999999993E-3</v>
      </c>
      <c r="P16" s="106">
        <f t="shared" si="11"/>
        <v>5.7299232899999994</v>
      </c>
      <c r="Q16" s="106">
        <v>0</v>
      </c>
      <c r="R16" s="106">
        <f t="shared" si="5"/>
        <v>0</v>
      </c>
      <c r="S16">
        <v>100</v>
      </c>
      <c r="T16">
        <f>G16*S16*assumptions!$D$6</f>
        <v>30940</v>
      </c>
      <c r="U16">
        <v>10.9</v>
      </c>
      <c r="V16" s="57">
        <v>5.9027777777777776E-2</v>
      </c>
      <c r="W16" s="48">
        <v>2440.5499999999997</v>
      </c>
      <c r="X16" s="20">
        <f t="shared" si="6"/>
        <v>874.53041666666661</v>
      </c>
      <c r="Y16" s="65">
        <f t="shared" si="7"/>
        <v>5247.1824999999999</v>
      </c>
      <c r="Z16">
        <v>2</v>
      </c>
      <c r="AA16">
        <v>3</v>
      </c>
      <c r="AB16" s="59">
        <v>75</v>
      </c>
      <c r="AC16" s="49">
        <v>3.5</v>
      </c>
      <c r="AD16" s="51">
        <v>639</v>
      </c>
      <c r="AE16" s="51">
        <v>5738</v>
      </c>
      <c r="AF16" s="51">
        <v>11360</v>
      </c>
      <c r="AG16" s="51">
        <v>2840</v>
      </c>
      <c r="AH16" s="51">
        <v>888</v>
      </c>
      <c r="AI16" s="51">
        <v>2550</v>
      </c>
      <c r="AJ16" s="59">
        <v>2756</v>
      </c>
      <c r="AK16" s="51">
        <f t="shared" si="8"/>
        <v>32018.182499999999</v>
      </c>
      <c r="AL16" s="59">
        <v>6375</v>
      </c>
      <c r="AM16" s="51">
        <v>38150</v>
      </c>
      <c r="AN16" s="51">
        <f t="shared" si="9"/>
        <v>44525</v>
      </c>
      <c r="AO16" s="5"/>
    </row>
    <row r="17" spans="2:41" x14ac:dyDescent="0.3">
      <c r="B17" s="27" t="s">
        <v>56</v>
      </c>
      <c r="C17" s="28" t="s">
        <v>45</v>
      </c>
      <c r="D17" s="28" t="s">
        <v>46</v>
      </c>
      <c r="E17" s="29">
        <f t="shared" si="12"/>
        <v>364</v>
      </c>
      <c r="F17" s="28">
        <f t="shared" si="0"/>
        <v>182</v>
      </c>
      <c r="G17" s="28">
        <f t="shared" si="1"/>
        <v>364</v>
      </c>
      <c r="H17" s="28">
        <f>_xlfn.XLOOKUP(B17,'[1]Baseline 2025'!$B:$B,'[1]Baseline 2025'!$C:$C)</f>
        <v>961</v>
      </c>
      <c r="I17" s="28">
        <f t="shared" si="2"/>
        <v>349804</v>
      </c>
      <c r="J17" s="28" t="str">
        <f>_xlfn.XLOOKUP(B17,'[1]Baseline 2025'!$B:$B,'[1]Baseline 2025'!$E:$E)</f>
        <v>Short Haul</v>
      </c>
      <c r="K17" s="28">
        <f>_xlfn.XLOOKUP(B17,'[1]Baseline 2025'!$B:$B,'[1]Baseline 2025'!$I:$I)/100</f>
        <v>25675.613599999997</v>
      </c>
      <c r="L17" s="28">
        <f t="shared" si="10"/>
        <v>920042.82066666661</v>
      </c>
      <c r="M17" s="28">
        <v>3.97</v>
      </c>
      <c r="N17" s="28">
        <f t="shared" si="3"/>
        <v>3652.5699980466666</v>
      </c>
      <c r="O17" s="28">
        <f t="shared" si="4"/>
        <v>8.9999999999999993E-3</v>
      </c>
      <c r="P17" s="106">
        <f t="shared" si="11"/>
        <v>8.280385385999999</v>
      </c>
      <c r="Q17" s="106">
        <v>0</v>
      </c>
      <c r="R17" s="106">
        <f t="shared" si="5"/>
        <v>0</v>
      </c>
      <c r="S17">
        <v>100</v>
      </c>
      <c r="T17">
        <f>G17*S17*assumptions!$D$6</f>
        <v>30940</v>
      </c>
      <c r="U17">
        <v>10.9</v>
      </c>
      <c r="V17" s="57">
        <v>7.2916666666666671E-2</v>
      </c>
      <c r="W17" s="48">
        <v>3526.87</v>
      </c>
      <c r="X17" s="48">
        <f t="shared" si="6"/>
        <v>1263.7950833333334</v>
      </c>
      <c r="Y17" s="65">
        <f t="shared" si="7"/>
        <v>7582.7705000000005</v>
      </c>
      <c r="Z17">
        <v>2</v>
      </c>
      <c r="AA17">
        <v>3</v>
      </c>
      <c r="AB17" s="59">
        <v>205</v>
      </c>
      <c r="AC17" s="49">
        <v>3.5</v>
      </c>
      <c r="AD17" s="51">
        <v>787.5</v>
      </c>
      <c r="AE17" s="51">
        <v>5867</v>
      </c>
      <c r="AF17" s="51">
        <v>14000</v>
      </c>
      <c r="AG17" s="51">
        <v>3500</v>
      </c>
      <c r="AH17" s="51">
        <v>1094</v>
      </c>
      <c r="AI17" s="51">
        <v>2550</v>
      </c>
      <c r="AJ17" s="59">
        <v>3522</v>
      </c>
      <c r="AK17" s="51">
        <f t="shared" si="8"/>
        <v>38903.270499999999</v>
      </c>
      <c r="AL17" s="59">
        <v>17425</v>
      </c>
      <c r="AM17" s="51">
        <v>38150</v>
      </c>
      <c r="AN17" s="51">
        <f t="shared" si="9"/>
        <v>55575</v>
      </c>
      <c r="AO17" s="5"/>
    </row>
    <row r="18" spans="2:41" x14ac:dyDescent="0.3">
      <c r="B18" s="27" t="s">
        <v>57</v>
      </c>
      <c r="C18" s="28" t="s">
        <v>45</v>
      </c>
      <c r="D18" s="28" t="s">
        <v>46</v>
      </c>
      <c r="E18" s="29">
        <f t="shared" si="12"/>
        <v>364</v>
      </c>
      <c r="F18" s="28">
        <f t="shared" si="0"/>
        <v>182</v>
      </c>
      <c r="G18" s="28">
        <f t="shared" si="1"/>
        <v>364</v>
      </c>
      <c r="H18" s="28">
        <f>_xlfn.XLOOKUP(B18,'[1]Baseline 2025'!$B:$B,'[1]Baseline 2025'!$C:$C)</f>
        <v>1426</v>
      </c>
      <c r="I18" s="28">
        <f t="shared" si="2"/>
        <v>519064</v>
      </c>
      <c r="J18" s="28" t="str">
        <f>_xlfn.XLOOKUP(B18,'[1]Baseline 2025'!$B:$B,'[1]Baseline 2025'!$E:$E)</f>
        <v>Short Haul</v>
      </c>
      <c r="K18" s="28">
        <f>_xlfn.XLOOKUP(B18,'[1]Baseline 2025'!$B:$B,'[1]Baseline 2025'!$I:$I)/100</f>
        <v>38099.297600000005</v>
      </c>
      <c r="L18" s="28">
        <f t="shared" si="10"/>
        <v>1365224.8306666671</v>
      </c>
      <c r="M18" s="28">
        <v>3.97</v>
      </c>
      <c r="N18" s="28">
        <f t="shared" si="3"/>
        <v>5419.9425777466686</v>
      </c>
      <c r="O18" s="28">
        <f t="shared" si="4"/>
        <v>8.9999999999999993E-3</v>
      </c>
      <c r="P18" s="106">
        <f t="shared" si="11"/>
        <v>12.287023476000002</v>
      </c>
      <c r="Q18" s="106">
        <v>0</v>
      </c>
      <c r="R18" s="106">
        <f t="shared" si="5"/>
        <v>0</v>
      </c>
      <c r="S18">
        <v>100</v>
      </c>
      <c r="T18">
        <f>G18*S18*assumptions!$D$6</f>
        <v>30940</v>
      </c>
      <c r="U18">
        <v>10.9</v>
      </c>
      <c r="V18" s="57">
        <v>0.10069444444444445</v>
      </c>
      <c r="W18" s="48">
        <v>5233.42</v>
      </c>
      <c r="X18" s="48">
        <f t="shared" si="6"/>
        <v>1875.3088333333333</v>
      </c>
      <c r="Y18" s="65">
        <f t="shared" si="7"/>
        <v>11251.852999999999</v>
      </c>
      <c r="Z18">
        <v>2</v>
      </c>
      <c r="AA18">
        <v>3</v>
      </c>
      <c r="AB18" s="59">
        <v>451</v>
      </c>
      <c r="AC18" s="49">
        <v>3.5</v>
      </c>
      <c r="AD18" s="51">
        <v>1089</v>
      </c>
      <c r="AE18" s="51">
        <v>6564</v>
      </c>
      <c r="AF18" s="51">
        <v>19360</v>
      </c>
      <c r="AG18" s="51">
        <v>4840</v>
      </c>
      <c r="AH18" s="51">
        <v>1513</v>
      </c>
      <c r="AI18" s="51">
        <v>2550</v>
      </c>
      <c r="AJ18" s="59">
        <v>4844</v>
      </c>
      <c r="AK18" s="51">
        <f t="shared" si="8"/>
        <v>52011.853000000003</v>
      </c>
      <c r="AL18" s="59">
        <v>38335</v>
      </c>
      <c r="AM18" s="51">
        <v>38150</v>
      </c>
      <c r="AN18" s="51">
        <f t="shared" si="9"/>
        <v>76485</v>
      </c>
      <c r="AO18" s="5"/>
    </row>
    <row r="19" spans="2:41" x14ac:dyDescent="0.3">
      <c r="B19" s="27" t="s">
        <v>58</v>
      </c>
      <c r="C19" s="28" t="s">
        <v>45</v>
      </c>
      <c r="D19" s="28" t="s">
        <v>46</v>
      </c>
      <c r="E19" s="29">
        <f t="shared" si="12"/>
        <v>364</v>
      </c>
      <c r="F19" s="28">
        <f t="shared" si="0"/>
        <v>182</v>
      </c>
      <c r="G19" s="28">
        <f t="shared" si="1"/>
        <v>364</v>
      </c>
      <c r="H19" s="28">
        <f>_xlfn.XLOOKUP(B19,'[1]Baseline 2025'!$B:$B,'[1]Baseline 2025'!$C:$C)</f>
        <v>962</v>
      </c>
      <c r="I19" s="28">
        <f t="shared" si="2"/>
        <v>350168</v>
      </c>
      <c r="J19" s="28" t="str">
        <f>_xlfn.XLOOKUP(B19,'[1]Baseline 2025'!$B:$B,'[1]Baseline 2025'!$E:$E)</f>
        <v>Short Haul</v>
      </c>
      <c r="K19" s="28">
        <f>_xlfn.XLOOKUP(B19,'[1]Baseline 2025'!$B:$B,'[1]Baseline 2025'!$I:$I)/100</f>
        <v>25702.331200000001</v>
      </c>
      <c r="L19" s="28">
        <f t="shared" si="10"/>
        <v>921000.20133333339</v>
      </c>
      <c r="M19" s="28">
        <v>3.97</v>
      </c>
      <c r="N19" s="28">
        <f t="shared" si="3"/>
        <v>3656.3707992933337</v>
      </c>
      <c r="O19" s="28">
        <f t="shared" si="4"/>
        <v>8.9999999999999993E-3</v>
      </c>
      <c r="P19" s="106">
        <f t="shared" si="11"/>
        <v>8.2890018120000004</v>
      </c>
      <c r="Q19" s="106">
        <v>0</v>
      </c>
      <c r="R19" s="106">
        <f t="shared" si="5"/>
        <v>0</v>
      </c>
      <c r="S19">
        <v>100</v>
      </c>
      <c r="T19">
        <f>G19*S19*assumptions!$D$6</f>
        <v>30940</v>
      </c>
      <c r="U19">
        <v>10.9</v>
      </c>
      <c r="V19" s="57">
        <v>7.2916666666666671E-2</v>
      </c>
      <c r="W19" s="48">
        <v>3530.54</v>
      </c>
      <c r="X19" s="48">
        <f t="shared" si="6"/>
        <v>1265.1101666666666</v>
      </c>
      <c r="Y19" s="65">
        <f t="shared" si="7"/>
        <v>7590.6610000000001</v>
      </c>
      <c r="Z19">
        <v>2</v>
      </c>
      <c r="AA19">
        <v>3</v>
      </c>
      <c r="AB19" s="59">
        <v>205.5</v>
      </c>
      <c r="AC19" s="49">
        <v>3.5</v>
      </c>
      <c r="AD19" s="51">
        <v>787.5</v>
      </c>
      <c r="AE19" s="51">
        <v>5868</v>
      </c>
      <c r="AF19" s="51">
        <v>14000</v>
      </c>
      <c r="AG19" s="51">
        <v>3500</v>
      </c>
      <c r="AH19" s="51">
        <v>1094</v>
      </c>
      <c r="AI19" s="51">
        <v>2550</v>
      </c>
      <c r="AJ19" s="59">
        <v>3523</v>
      </c>
      <c r="AK19" s="51">
        <f t="shared" si="8"/>
        <v>38913.161</v>
      </c>
      <c r="AL19" s="59">
        <v>17467.5</v>
      </c>
      <c r="AM19" s="51">
        <v>38150</v>
      </c>
      <c r="AN19" s="51">
        <f t="shared" si="9"/>
        <v>55617.5</v>
      </c>
      <c r="AO19" s="5"/>
    </row>
    <row r="20" spans="2:41" x14ac:dyDescent="0.3">
      <c r="B20" s="27" t="s">
        <v>59</v>
      </c>
      <c r="C20" s="28" t="s">
        <v>45</v>
      </c>
      <c r="D20" s="28" t="s">
        <v>46</v>
      </c>
      <c r="E20" s="29">
        <f t="shared" si="12"/>
        <v>364</v>
      </c>
      <c r="F20" s="28">
        <f t="shared" si="0"/>
        <v>182</v>
      </c>
      <c r="G20" s="28">
        <f t="shared" si="1"/>
        <v>364</v>
      </c>
      <c r="H20" s="28">
        <f>_xlfn.XLOOKUP(B20,'[1]Baseline 2025'!$B:$B,'[1]Baseline 2025'!$C:$C)</f>
        <v>1105</v>
      </c>
      <c r="I20" s="28">
        <f t="shared" si="2"/>
        <v>402220</v>
      </c>
      <c r="J20" s="28" t="str">
        <f>_xlfn.XLOOKUP(B20,'[1]Baseline 2025'!$B:$B,'[1]Baseline 2025'!$E:$E)</f>
        <v>Short Haul</v>
      </c>
      <c r="K20" s="28">
        <f>_xlfn.XLOOKUP(B20,'[1]Baseline 2025'!$B:$B,'[1]Baseline 2025'!$I:$I)/100</f>
        <v>29522.948000000004</v>
      </c>
      <c r="L20" s="28">
        <f t="shared" si="10"/>
        <v>1057905.6366666667</v>
      </c>
      <c r="M20" s="28">
        <v>3.97</v>
      </c>
      <c r="N20" s="28">
        <f t="shared" si="3"/>
        <v>4199.8853775666676</v>
      </c>
      <c r="O20" s="28">
        <f t="shared" si="4"/>
        <v>8.9999999999999993E-3</v>
      </c>
      <c r="P20" s="106">
        <f t="shared" si="11"/>
        <v>9.5211507299999987</v>
      </c>
      <c r="Q20" s="106">
        <v>0</v>
      </c>
      <c r="R20" s="106">
        <f t="shared" si="5"/>
        <v>0</v>
      </c>
      <c r="S20">
        <v>100</v>
      </c>
      <c r="T20">
        <f>G20*S20*assumptions!$D$6</f>
        <v>30940</v>
      </c>
      <c r="U20">
        <v>10.9</v>
      </c>
      <c r="V20" s="57">
        <v>7.9861111111111105E-2</v>
      </c>
      <c r="W20" s="48">
        <v>4055.35</v>
      </c>
      <c r="X20" s="48">
        <f t="shared" si="6"/>
        <v>1453.1670833333333</v>
      </c>
      <c r="Y20" s="65">
        <f t="shared" si="7"/>
        <v>8719.0024999999987</v>
      </c>
      <c r="Z20">
        <v>2</v>
      </c>
      <c r="AA20">
        <v>3</v>
      </c>
      <c r="AB20" s="59">
        <v>275</v>
      </c>
      <c r="AC20" s="49">
        <v>3.5</v>
      </c>
      <c r="AD20" s="51">
        <v>862.51499999999999</v>
      </c>
      <c r="AE20" s="51">
        <v>6083</v>
      </c>
      <c r="AF20" s="51">
        <v>15333.6</v>
      </c>
      <c r="AG20" s="51">
        <v>3833.4</v>
      </c>
      <c r="AH20" s="51">
        <v>1198</v>
      </c>
      <c r="AI20" s="51">
        <v>2550</v>
      </c>
      <c r="AJ20" s="59">
        <v>3899</v>
      </c>
      <c r="AK20" s="51">
        <f t="shared" si="8"/>
        <v>42478.517500000002</v>
      </c>
      <c r="AL20" s="59">
        <v>23375</v>
      </c>
      <c r="AM20" s="51">
        <v>38150</v>
      </c>
      <c r="AN20" s="51">
        <f t="shared" si="9"/>
        <v>61525</v>
      </c>
      <c r="AO20" s="5"/>
    </row>
    <row r="21" spans="2:41" x14ac:dyDescent="0.3">
      <c r="B21" s="27" t="s">
        <v>60</v>
      </c>
      <c r="C21" s="28" t="s">
        <v>45</v>
      </c>
      <c r="D21" s="28" t="s">
        <v>46</v>
      </c>
      <c r="E21" s="29">
        <f>14*52*2</f>
        <v>1456</v>
      </c>
      <c r="F21" s="28">
        <f t="shared" si="0"/>
        <v>728</v>
      </c>
      <c r="G21" s="28">
        <f t="shared" si="1"/>
        <v>1456</v>
      </c>
      <c r="H21" s="28">
        <f>_xlfn.XLOOKUP(B21,'[1]Baseline 2025'!$B:$B,'[1]Baseline 2025'!$C:$C)</f>
        <v>603</v>
      </c>
      <c r="I21" s="28">
        <f t="shared" si="2"/>
        <v>877968</v>
      </c>
      <c r="J21" s="28" t="str">
        <f>_xlfn.XLOOKUP(B21,'[1]Baseline 2025'!$B:$B,'[1]Baseline 2025'!$E:$E)</f>
        <v>Short Haul</v>
      </c>
      <c r="K21" s="28">
        <f>_xlfn.XLOOKUP(B21,'[1]Baseline 2025'!$B:$B,'[1]Baseline 2025'!$I:$I)/100</f>
        <v>32221.425599999995</v>
      </c>
      <c r="L21" s="28">
        <f t="shared" si="10"/>
        <v>1154601.0839999998</v>
      </c>
      <c r="M21" s="28">
        <v>3.97</v>
      </c>
      <c r="N21" s="28">
        <f t="shared" si="3"/>
        <v>4583.7663034799989</v>
      </c>
      <c r="O21" s="28">
        <f t="shared" si="4"/>
        <v>8.9999999999999993E-3</v>
      </c>
      <c r="P21" s="106">
        <f t="shared" si="11"/>
        <v>10.391409755999998</v>
      </c>
      <c r="Q21" s="106">
        <v>0</v>
      </c>
      <c r="R21" s="106">
        <f t="shared" si="5"/>
        <v>0</v>
      </c>
      <c r="S21">
        <v>100</v>
      </c>
      <c r="T21">
        <f>G21*S21*assumptions!$D$6</f>
        <v>123760</v>
      </c>
      <c r="U21">
        <v>10.9</v>
      </c>
      <c r="V21" s="57">
        <v>5.9027777777777776E-2</v>
      </c>
      <c r="W21" s="48">
        <v>2213.0099999999998</v>
      </c>
      <c r="X21" s="48">
        <f t="shared" si="6"/>
        <v>792.99524999999994</v>
      </c>
      <c r="Y21" s="65">
        <f t="shared" si="7"/>
        <v>4757.9714999999997</v>
      </c>
      <c r="Z21">
        <v>2</v>
      </c>
      <c r="AA21">
        <v>3</v>
      </c>
      <c r="AB21" s="59">
        <v>75</v>
      </c>
      <c r="AC21" s="49">
        <v>3.5</v>
      </c>
      <c r="AD21" s="51">
        <v>637.51499999999999</v>
      </c>
      <c r="AE21" s="51">
        <v>5330</v>
      </c>
      <c r="AF21" s="51">
        <v>11333.6</v>
      </c>
      <c r="AG21" s="51">
        <v>2833.4</v>
      </c>
      <c r="AH21" s="51">
        <v>885</v>
      </c>
      <c r="AI21" s="51">
        <v>2550</v>
      </c>
      <c r="AJ21" s="59">
        <v>2647</v>
      </c>
      <c r="AK21" s="51">
        <f t="shared" si="8"/>
        <v>30974.486499999999</v>
      </c>
      <c r="AL21" s="59">
        <v>6375</v>
      </c>
      <c r="AM21" s="51">
        <v>38150</v>
      </c>
      <c r="AN21" s="51">
        <f t="shared" si="9"/>
        <v>44525</v>
      </c>
      <c r="AO21" s="5"/>
    </row>
    <row r="22" spans="2:41" x14ac:dyDescent="0.3">
      <c r="B22" s="61" t="s">
        <v>61</v>
      </c>
      <c r="C22" s="24" t="s">
        <v>62</v>
      </c>
      <c r="D22" s="24" t="s">
        <v>46</v>
      </c>
      <c r="E22" s="25">
        <f>3*52*2</f>
        <v>312</v>
      </c>
      <c r="F22" s="24">
        <f t="shared" si="0"/>
        <v>156</v>
      </c>
      <c r="G22" s="24">
        <f t="shared" si="1"/>
        <v>312</v>
      </c>
      <c r="H22" s="24">
        <f>_xlfn.XLOOKUP(B22,'[1]Baseline 2025'!$B:$B,'[1]Baseline 2025'!$C:$C)</f>
        <v>9217</v>
      </c>
      <c r="I22" s="24">
        <f t="shared" si="2"/>
        <v>2875704</v>
      </c>
      <c r="J22" s="24" t="str">
        <f>_xlfn.XLOOKUP(B22,'[1]Baseline 2025'!$B:$B,'[1]Baseline 2025'!$E:$E)</f>
        <v>Long Haul</v>
      </c>
      <c r="K22" s="24">
        <f>_xlfn.XLOOKUP(B22,'[1]Baseline 2025'!$B:$B,'[1]Baseline 2025'!$I:$I)/100</f>
        <v>213377.23679999998</v>
      </c>
      <c r="L22" s="28">
        <f t="shared" si="10"/>
        <v>7646017.6519999998</v>
      </c>
      <c r="M22" s="28">
        <v>3.97</v>
      </c>
      <c r="N22" s="24">
        <f t="shared" si="3"/>
        <v>30354.690078439999</v>
      </c>
      <c r="O22" s="28">
        <f t="shared" si="4"/>
        <v>8.9999999999999993E-3</v>
      </c>
      <c r="P22" s="106">
        <f t="shared" si="11"/>
        <v>68.814158867999993</v>
      </c>
      <c r="Q22" s="106">
        <v>0</v>
      </c>
      <c r="R22" s="106">
        <f t="shared" si="5"/>
        <v>0</v>
      </c>
      <c r="S22">
        <v>300</v>
      </c>
      <c r="T22">
        <f>G22*S22*assumptions!$D$6</f>
        <v>79560</v>
      </c>
      <c r="U22">
        <v>20</v>
      </c>
      <c r="V22" s="57">
        <v>0.46875</v>
      </c>
      <c r="W22" s="48">
        <v>68390.14</v>
      </c>
      <c r="X22" s="48">
        <f t="shared" si="6"/>
        <v>24506.466833333332</v>
      </c>
      <c r="Y22" s="65">
        <f t="shared" si="7"/>
        <v>147038.80099999998</v>
      </c>
      <c r="Z22">
        <v>3</v>
      </c>
      <c r="AA22">
        <v>12</v>
      </c>
      <c r="AB22" s="59">
        <v>2364</v>
      </c>
      <c r="AC22" s="49">
        <v>2.5</v>
      </c>
      <c r="AD22" s="51">
        <v>11812.5</v>
      </c>
      <c r="AE22" s="51">
        <v>27101</v>
      </c>
      <c r="AF22" s="51">
        <v>90000</v>
      </c>
      <c r="AG22" s="51">
        <v>22500</v>
      </c>
      <c r="AH22" s="51">
        <v>21094</v>
      </c>
      <c r="AI22" s="51">
        <v>7650</v>
      </c>
      <c r="AJ22" s="59">
        <v>42642</v>
      </c>
      <c r="AK22" s="51">
        <f t="shared" si="8"/>
        <v>369838.30099999998</v>
      </c>
      <c r="AL22" s="59">
        <v>602820</v>
      </c>
      <c r="AM22" s="51">
        <v>70000</v>
      </c>
      <c r="AN22" s="51">
        <f t="shared" si="9"/>
        <v>672820</v>
      </c>
      <c r="AO22" s="5"/>
    </row>
    <row r="23" spans="2:41" x14ac:dyDescent="0.3">
      <c r="B23" s="61" t="s">
        <v>63</v>
      </c>
      <c r="C23" s="24" t="s">
        <v>62</v>
      </c>
      <c r="D23" s="24" t="s">
        <v>46</v>
      </c>
      <c r="E23" s="25">
        <f>3*52*2</f>
        <v>312</v>
      </c>
      <c r="F23" s="24">
        <f t="shared" si="0"/>
        <v>156</v>
      </c>
      <c r="G23" s="24">
        <f t="shared" si="1"/>
        <v>312</v>
      </c>
      <c r="H23" s="24">
        <f>_xlfn.XLOOKUP(B23,'[1]Baseline 2025'!$B:$B,'[1]Baseline 2025'!$C:$C)</f>
        <v>9285</v>
      </c>
      <c r="I23" s="24">
        <f t="shared" si="2"/>
        <v>2896920</v>
      </c>
      <c r="J23" s="24" t="str">
        <f>_xlfn.XLOOKUP(B23,'[1]Baseline 2025'!$B:$B,'[1]Baseline 2025'!$E:$E)</f>
        <v>Long Haul</v>
      </c>
      <c r="K23" s="24">
        <f>_xlfn.XLOOKUP(B23,'[1]Baseline 2025'!$B:$B,'[1]Baseline 2025'!$I:$I)/100</f>
        <v>214951.46399999998</v>
      </c>
      <c r="L23" s="28">
        <f t="shared" si="10"/>
        <v>7702427.459999999</v>
      </c>
      <c r="M23" s="28">
        <v>3.97</v>
      </c>
      <c r="N23" s="24">
        <f t="shared" si="3"/>
        <v>30578.637016199998</v>
      </c>
      <c r="O23" s="28">
        <f t="shared" si="4"/>
        <v>8.9999999999999993E-3</v>
      </c>
      <c r="P23" s="106">
        <f t="shared" si="11"/>
        <v>69.321847139999988</v>
      </c>
      <c r="Q23" s="106">
        <v>0</v>
      </c>
      <c r="R23" s="106">
        <f t="shared" si="5"/>
        <v>0</v>
      </c>
      <c r="S23">
        <v>300</v>
      </c>
      <c r="T23">
        <f>G23*S23*assumptions!$D$6</f>
        <v>79560</v>
      </c>
      <c r="U23">
        <v>20</v>
      </c>
      <c r="V23" s="57">
        <v>0.46875</v>
      </c>
      <c r="W23" s="48">
        <v>68894.7</v>
      </c>
      <c r="X23" s="48">
        <f t="shared" si="6"/>
        <v>24687.267500000002</v>
      </c>
      <c r="Y23" s="65">
        <f t="shared" si="7"/>
        <v>148123.60500000001</v>
      </c>
      <c r="Z23">
        <v>3</v>
      </c>
      <c r="AA23">
        <v>12</v>
      </c>
      <c r="AB23" s="59">
        <v>2378</v>
      </c>
      <c r="AC23" s="49">
        <v>3.5</v>
      </c>
      <c r="AD23" s="51">
        <v>11812.5</v>
      </c>
      <c r="AE23" s="51">
        <v>27203</v>
      </c>
      <c r="AF23" s="51">
        <v>90000</v>
      </c>
      <c r="AG23" s="51">
        <v>22500</v>
      </c>
      <c r="AH23" s="51">
        <v>21094</v>
      </c>
      <c r="AI23" s="51">
        <v>7650</v>
      </c>
      <c r="AJ23" s="59">
        <v>42869</v>
      </c>
      <c r="AK23" s="51">
        <f t="shared" si="8"/>
        <v>371252.10499999998</v>
      </c>
      <c r="AL23" s="59">
        <v>606390</v>
      </c>
      <c r="AM23" s="51">
        <v>70000</v>
      </c>
      <c r="AN23" s="51">
        <f t="shared" si="9"/>
        <v>676390</v>
      </c>
      <c r="AO23" s="5"/>
    </row>
    <row r="24" spans="2:41" x14ac:dyDescent="0.3">
      <c r="B24" s="61" t="s">
        <v>64</v>
      </c>
      <c r="C24" s="24" t="s">
        <v>62</v>
      </c>
      <c r="D24" s="24" t="s">
        <v>46</v>
      </c>
      <c r="E24" s="25">
        <f>52*2</f>
        <v>104</v>
      </c>
      <c r="F24" s="24">
        <f t="shared" si="0"/>
        <v>52</v>
      </c>
      <c r="G24" s="24">
        <f t="shared" si="1"/>
        <v>104</v>
      </c>
      <c r="H24" s="24">
        <f>_xlfn.XLOOKUP(B24,'[1]Baseline 2025'!$B:$B,'[1]Baseline 2025'!$C:$C)</f>
        <v>8886</v>
      </c>
      <c r="I24" s="24">
        <f t="shared" si="2"/>
        <v>924144</v>
      </c>
      <c r="J24" s="24" t="str">
        <f>_xlfn.XLOOKUP(B24,'[1]Baseline 2025'!$B:$B,'[1]Baseline 2025'!$E:$E)</f>
        <v>Long Haul</v>
      </c>
      <c r="K24" s="24">
        <f>_xlfn.XLOOKUP(B24,'[1]Baseline 2025'!$B:$B,'[1]Baseline 2025'!$I:$I)/100</f>
        <v>68571.484799999991</v>
      </c>
      <c r="L24" s="28">
        <f t="shared" si="10"/>
        <v>2457144.872</v>
      </c>
      <c r="M24" s="28">
        <v>3.97</v>
      </c>
      <c r="N24" s="24">
        <f t="shared" si="3"/>
        <v>9754.8651418400004</v>
      </c>
      <c r="O24" s="28">
        <f t="shared" si="4"/>
        <v>8.9999999999999993E-3</v>
      </c>
      <c r="P24" s="106">
        <f t="shared" si="11"/>
        <v>22.114303847999999</v>
      </c>
      <c r="Q24" s="106">
        <v>0</v>
      </c>
      <c r="R24" s="106">
        <f t="shared" si="5"/>
        <v>0</v>
      </c>
      <c r="S24">
        <v>300</v>
      </c>
      <c r="T24">
        <f>G24*S24*assumptions!$D$6</f>
        <v>26520</v>
      </c>
      <c r="U24">
        <v>20</v>
      </c>
      <c r="V24" s="57">
        <v>0.45833333333333331</v>
      </c>
      <c r="W24" s="48">
        <v>65934.12</v>
      </c>
      <c r="X24" s="48">
        <f t="shared" si="6"/>
        <v>23626.392999999996</v>
      </c>
      <c r="Y24" s="65">
        <f t="shared" si="7"/>
        <v>141758.35799999998</v>
      </c>
      <c r="Z24">
        <v>3</v>
      </c>
      <c r="AA24">
        <v>12</v>
      </c>
      <c r="AB24" s="88">
        <v>2282</v>
      </c>
      <c r="AC24" s="49">
        <v>3.5</v>
      </c>
      <c r="AD24" s="51">
        <v>11550</v>
      </c>
      <c r="AE24" s="51">
        <v>26604</v>
      </c>
      <c r="AF24" s="51">
        <v>88000</v>
      </c>
      <c r="AG24" s="51">
        <v>22000</v>
      </c>
      <c r="AH24" s="51">
        <v>20625</v>
      </c>
      <c r="AI24" s="51">
        <v>7650</v>
      </c>
      <c r="AJ24" s="59">
        <v>41307</v>
      </c>
      <c r="AK24" s="51">
        <f t="shared" si="8"/>
        <v>359494.35800000001</v>
      </c>
      <c r="AL24" s="59">
        <v>581910</v>
      </c>
      <c r="AM24" s="51">
        <v>70000</v>
      </c>
      <c r="AN24" s="51">
        <f t="shared" si="9"/>
        <v>651910</v>
      </c>
      <c r="AO24" s="5"/>
    </row>
    <row r="25" spans="2:41" x14ac:dyDescent="0.3">
      <c r="B25" s="61" t="s">
        <v>65</v>
      </c>
      <c r="C25" s="24" t="s">
        <v>62</v>
      </c>
      <c r="D25" s="24" t="s">
        <v>46</v>
      </c>
      <c r="E25" s="25">
        <f>156*2</f>
        <v>312</v>
      </c>
      <c r="F25" s="24">
        <f t="shared" si="0"/>
        <v>156</v>
      </c>
      <c r="G25" s="24">
        <f t="shared" si="1"/>
        <v>312</v>
      </c>
      <c r="H25" s="24">
        <f>_xlfn.XLOOKUP(B25,'[1]Baseline 2025'!$B:$B,'[1]Baseline 2025'!$C:$C)</f>
        <v>8818</v>
      </c>
      <c r="I25" s="24">
        <f t="shared" si="2"/>
        <v>2751216</v>
      </c>
      <c r="J25" s="24" t="str">
        <f>_xlfn.XLOOKUP(B25,'[1]Baseline 2025'!$B:$B,'[1]Baseline 2025'!$E:$E)</f>
        <v>Long Haul</v>
      </c>
      <c r="K25" s="24">
        <f>_xlfn.XLOOKUP(B25,'[1]Baseline 2025'!$B:$B,'[1]Baseline 2025'!$I:$I)/100</f>
        <v>204140.22719999999</v>
      </c>
      <c r="L25" s="28">
        <f t="shared" si="10"/>
        <v>7315024.8079999993</v>
      </c>
      <c r="M25" s="28">
        <v>3.97</v>
      </c>
      <c r="N25" s="24">
        <f t="shared" si="3"/>
        <v>29040.648487760001</v>
      </c>
      <c r="O25" s="28">
        <f t="shared" si="4"/>
        <v>8.9999999999999993E-3</v>
      </c>
      <c r="P25" s="106">
        <f t="shared" si="11"/>
        <v>65.835223271999993</v>
      </c>
      <c r="Q25" s="106">
        <v>0</v>
      </c>
      <c r="R25" s="106">
        <f t="shared" si="5"/>
        <v>0</v>
      </c>
      <c r="S25">
        <v>300</v>
      </c>
      <c r="T25">
        <f>G25*S25*assumptions!$D$6</f>
        <v>79560</v>
      </c>
      <c r="U25">
        <v>20</v>
      </c>
      <c r="V25" s="57">
        <v>0.46527777777777779</v>
      </c>
      <c r="W25" s="48">
        <v>65429.56</v>
      </c>
      <c r="X25" s="48">
        <f t="shared" si="6"/>
        <v>23445.592333333334</v>
      </c>
      <c r="Y25" s="65">
        <f t="shared" si="7"/>
        <v>140673.554</v>
      </c>
      <c r="Z25">
        <v>3</v>
      </c>
      <c r="AA25">
        <v>12</v>
      </c>
      <c r="AB25" s="59">
        <v>2277</v>
      </c>
      <c r="AC25" s="49">
        <v>3.5</v>
      </c>
      <c r="AD25" s="51">
        <v>11718</v>
      </c>
      <c r="AE25" s="51">
        <v>26502</v>
      </c>
      <c r="AF25" s="51">
        <v>89280</v>
      </c>
      <c r="AG25" s="51">
        <v>22320</v>
      </c>
      <c r="AH25" s="51">
        <v>20925</v>
      </c>
      <c r="AI25" s="51">
        <v>7650</v>
      </c>
      <c r="AJ25" s="59">
        <v>41228</v>
      </c>
      <c r="AK25" s="51">
        <f t="shared" si="8"/>
        <v>360296.554</v>
      </c>
      <c r="AL25" s="59">
        <v>580635</v>
      </c>
      <c r="AM25" s="51">
        <v>70000</v>
      </c>
      <c r="AN25" s="51">
        <f t="shared" si="9"/>
        <v>650635</v>
      </c>
      <c r="AO25" s="5"/>
    </row>
    <row r="26" spans="2:41" x14ac:dyDescent="0.3">
      <c r="B26" s="61" t="s">
        <v>66</v>
      </c>
      <c r="C26" s="24" t="s">
        <v>62</v>
      </c>
      <c r="D26" s="24" t="s">
        <v>46</v>
      </c>
      <c r="E26" s="25">
        <f>156*2</f>
        <v>312</v>
      </c>
      <c r="F26" s="24">
        <f t="shared" si="0"/>
        <v>156</v>
      </c>
      <c r="G26" s="24">
        <f t="shared" si="1"/>
        <v>312</v>
      </c>
      <c r="H26" s="24">
        <f>_xlfn.XLOOKUP(B26,'[1]Baseline 2025'!$B:$B,'[1]Baseline 2025'!$C:$C)</f>
        <v>9220</v>
      </c>
      <c r="I26" s="24">
        <f t="shared" si="2"/>
        <v>2876640</v>
      </c>
      <c r="J26" s="24" t="str">
        <f>_xlfn.XLOOKUP(B26,'[1]Baseline 2025'!$B:$B,'[1]Baseline 2025'!$E:$E)</f>
        <v>Long Haul</v>
      </c>
      <c r="K26" s="24">
        <f>_xlfn.XLOOKUP(B26,'[1]Baseline 2025'!$B:$B,'[1]Baseline 2025'!$I:$I)/100</f>
        <v>213446.68799999997</v>
      </c>
      <c r="L26" s="28">
        <f t="shared" si="10"/>
        <v>7648506.3199999984</v>
      </c>
      <c r="M26" s="28">
        <v>3.97</v>
      </c>
      <c r="N26" s="24">
        <f t="shared" si="3"/>
        <v>30364.570090399997</v>
      </c>
      <c r="O26" s="28">
        <f t="shared" si="4"/>
        <v>8.9999999999999993E-3</v>
      </c>
      <c r="P26" s="106">
        <f t="shared" si="11"/>
        <v>68.836556879999975</v>
      </c>
      <c r="Q26" s="106">
        <v>0</v>
      </c>
      <c r="R26" s="106">
        <f t="shared" si="5"/>
        <v>0</v>
      </c>
      <c r="S26">
        <v>300</v>
      </c>
      <c r="T26">
        <f>G26*S26*assumptions!$D$6</f>
        <v>79560</v>
      </c>
      <c r="U26">
        <v>20</v>
      </c>
      <c r="V26" s="57">
        <v>0.47916666666666669</v>
      </c>
      <c r="W26" s="48">
        <v>68412.399999999994</v>
      </c>
      <c r="X26" s="48">
        <f t="shared" si="6"/>
        <v>24514.443333333333</v>
      </c>
      <c r="Y26" s="65">
        <f t="shared" si="7"/>
        <v>147086.66</v>
      </c>
      <c r="Z26">
        <v>3</v>
      </c>
      <c r="AA26">
        <v>12</v>
      </c>
      <c r="AB26" s="59">
        <v>2380</v>
      </c>
      <c r="AC26" s="49">
        <v>3.5</v>
      </c>
      <c r="AD26" s="51">
        <v>12075</v>
      </c>
      <c r="AE26" s="51">
        <v>27105</v>
      </c>
      <c r="AF26" s="51">
        <v>92000</v>
      </c>
      <c r="AG26" s="51">
        <v>23000</v>
      </c>
      <c r="AH26" s="51">
        <v>21563</v>
      </c>
      <c r="AI26" s="51">
        <v>7650</v>
      </c>
      <c r="AJ26" s="59">
        <v>42883</v>
      </c>
      <c r="AK26" s="51">
        <f t="shared" si="8"/>
        <v>373362.66000000003</v>
      </c>
      <c r="AL26" s="59">
        <v>606900</v>
      </c>
      <c r="AM26" s="51">
        <v>70000</v>
      </c>
      <c r="AN26" s="51">
        <f t="shared" si="9"/>
        <v>676900</v>
      </c>
      <c r="AO26" s="5"/>
    </row>
    <row r="27" spans="2:41" x14ac:dyDescent="0.3">
      <c r="B27" s="61" t="s">
        <v>67</v>
      </c>
      <c r="C27" s="24" t="s">
        <v>62</v>
      </c>
      <c r="D27" s="24" t="s">
        <v>46</v>
      </c>
      <c r="E27" s="25">
        <f>52*2</f>
        <v>104</v>
      </c>
      <c r="F27" s="24">
        <f t="shared" si="0"/>
        <v>52</v>
      </c>
      <c r="G27" s="24">
        <f t="shared" si="1"/>
        <v>104</v>
      </c>
      <c r="H27" s="24">
        <f>_xlfn.XLOOKUP(B27,'[1]Baseline 2025'!$B:$B,'[1]Baseline 2025'!$C:$C)</f>
        <v>9536</v>
      </c>
      <c r="I27" s="24">
        <f t="shared" si="2"/>
        <v>991744</v>
      </c>
      <c r="J27" s="24" t="str">
        <f>_xlfn.XLOOKUP(B27,'[1]Baseline 2025'!$B:$B,'[1]Baseline 2025'!$E:$E)</f>
        <v>Long Haul</v>
      </c>
      <c r="K27" s="24">
        <f>_xlfn.XLOOKUP(B27,'[1]Baseline 2025'!$B:$B,'[1]Baseline 2025'!$I:$I)/100</f>
        <v>73587.404799999989</v>
      </c>
      <c r="L27" s="28">
        <f t="shared" si="10"/>
        <v>2636882.0053333328</v>
      </c>
      <c r="M27" s="28">
        <v>3.97</v>
      </c>
      <c r="N27" s="24">
        <f t="shared" si="3"/>
        <v>10468.421561173331</v>
      </c>
      <c r="O27" s="28">
        <f t="shared" si="4"/>
        <v>8.9999999999999993E-3</v>
      </c>
      <c r="P27" s="106">
        <f t="shared" si="11"/>
        <v>23.731938047999993</v>
      </c>
      <c r="Q27" s="106">
        <v>0</v>
      </c>
      <c r="R27" s="106">
        <f t="shared" si="5"/>
        <v>0</v>
      </c>
      <c r="S27">
        <v>300</v>
      </c>
      <c r="T27">
        <f>G27*S27*assumptions!$D$6</f>
        <v>26520</v>
      </c>
      <c r="U27">
        <v>20</v>
      </c>
      <c r="V27" s="57">
        <v>0.5</v>
      </c>
      <c r="W27" s="48">
        <v>70757.119999999995</v>
      </c>
      <c r="X27" s="48">
        <f t="shared" si="6"/>
        <v>25354.634666666665</v>
      </c>
      <c r="Y27" s="65">
        <f t="shared" si="7"/>
        <v>152127.80799999999</v>
      </c>
      <c r="Z27">
        <v>3</v>
      </c>
      <c r="AA27">
        <v>12</v>
      </c>
      <c r="AB27" s="59">
        <v>2475</v>
      </c>
      <c r="AC27" s="49">
        <v>3.5</v>
      </c>
      <c r="AD27" s="51">
        <v>12600</v>
      </c>
      <c r="AE27" s="51">
        <v>27579</v>
      </c>
      <c r="AF27" s="51">
        <v>96000</v>
      </c>
      <c r="AG27" s="51">
        <v>24000</v>
      </c>
      <c r="AH27" s="51">
        <v>22500</v>
      </c>
      <c r="AI27" s="51">
        <v>7650</v>
      </c>
      <c r="AJ27" s="59">
        <v>44400</v>
      </c>
      <c r="AK27" s="51">
        <f t="shared" si="8"/>
        <v>386856.80799999996</v>
      </c>
      <c r="AL27" s="59">
        <v>631125</v>
      </c>
      <c r="AM27" s="51">
        <v>70000</v>
      </c>
      <c r="AN27" s="51">
        <f t="shared" si="9"/>
        <v>701125</v>
      </c>
      <c r="AO27" s="5"/>
    </row>
    <row r="28" spans="2:41" x14ac:dyDescent="0.3">
      <c r="B28" s="61" t="s">
        <v>68</v>
      </c>
      <c r="C28" s="24" t="s">
        <v>62</v>
      </c>
      <c r="D28" s="24" t="s">
        <v>46</v>
      </c>
      <c r="E28" s="25">
        <f>156*2</f>
        <v>312</v>
      </c>
      <c r="F28" s="24">
        <f t="shared" si="0"/>
        <v>156</v>
      </c>
      <c r="G28" s="24">
        <f t="shared" si="1"/>
        <v>312</v>
      </c>
      <c r="H28" s="24">
        <f>_xlfn.XLOOKUP(B28,'[1]Baseline 2025'!$B:$B,'[1]Baseline 2025'!$C:$C)</f>
        <v>9652</v>
      </c>
      <c r="I28" s="24">
        <f t="shared" si="2"/>
        <v>3011424</v>
      </c>
      <c r="J28" s="24" t="str">
        <f>_xlfn.XLOOKUP(B28,'[1]Baseline 2025'!$B:$B,'[1]Baseline 2025'!$E:$E)</f>
        <v>Long Haul</v>
      </c>
      <c r="K28" s="24">
        <f>_xlfn.XLOOKUP(B28,'[1]Baseline 2025'!$B:$B,'[1]Baseline 2025'!$I:$I)/100</f>
        <v>223447.66079999998</v>
      </c>
      <c r="L28" s="28">
        <f t="shared" si="10"/>
        <v>8006874.5119999992</v>
      </c>
      <c r="M28" s="28">
        <v>3.97</v>
      </c>
      <c r="N28" s="24">
        <f t="shared" si="3"/>
        <v>31787.29181264</v>
      </c>
      <c r="O28" s="28">
        <f t="shared" si="4"/>
        <v>8.9999999999999993E-3</v>
      </c>
      <c r="P28" s="106">
        <f t="shared" si="11"/>
        <v>72.061870607999978</v>
      </c>
      <c r="Q28" s="106">
        <v>0</v>
      </c>
      <c r="R28" s="106">
        <f t="shared" si="5"/>
        <v>0</v>
      </c>
      <c r="S28">
        <v>300</v>
      </c>
      <c r="T28">
        <f>G28*S28*assumptions!$D$6</f>
        <v>79560</v>
      </c>
      <c r="U28">
        <v>20</v>
      </c>
      <c r="V28" s="57">
        <v>0.47222222222222221</v>
      </c>
      <c r="W28" s="48">
        <v>71617.84</v>
      </c>
      <c r="X28" s="48">
        <f t="shared" si="6"/>
        <v>25663.059333333331</v>
      </c>
      <c r="Y28" s="65">
        <f t="shared" si="7"/>
        <v>153978.35599999997</v>
      </c>
      <c r="Z28">
        <v>3</v>
      </c>
      <c r="AA28">
        <v>12</v>
      </c>
      <c r="AB28" s="59">
        <v>2455</v>
      </c>
      <c r="AC28" s="49">
        <v>3.5</v>
      </c>
      <c r="AD28" s="51">
        <v>11896.5</v>
      </c>
      <c r="AE28" s="51">
        <v>27753</v>
      </c>
      <c r="AF28" s="51">
        <v>90640</v>
      </c>
      <c r="AG28" s="51">
        <v>22660</v>
      </c>
      <c r="AH28" s="51">
        <v>21244</v>
      </c>
      <c r="AI28" s="51">
        <v>7650</v>
      </c>
      <c r="AJ28" s="59">
        <v>44168</v>
      </c>
      <c r="AK28" s="51">
        <f t="shared" si="8"/>
        <v>379989.85599999997</v>
      </c>
      <c r="AL28" s="59">
        <v>627300</v>
      </c>
      <c r="AM28" s="51">
        <v>70000</v>
      </c>
      <c r="AN28" s="51">
        <f t="shared" si="9"/>
        <v>697300</v>
      </c>
      <c r="AO28" s="5"/>
    </row>
    <row r="29" spans="2:41" x14ac:dyDescent="0.3">
      <c r="N29" s="26">
        <f>SUM(N7:N28)</f>
        <v>233849.8891607667</v>
      </c>
      <c r="O29" s="26"/>
      <c r="P29" s="108">
        <f>SUM(P7:P28)</f>
        <v>530.13828776999992</v>
      </c>
      <c r="Q29" s="26"/>
      <c r="R29" s="108">
        <f>SUM(R7:R28)</f>
        <v>0</v>
      </c>
    </row>
    <row r="33" spans="1:26" x14ac:dyDescent="0.3">
      <c r="A33" t="s">
        <v>69</v>
      </c>
      <c r="D33" t="s">
        <v>70</v>
      </c>
      <c r="F33" t="s">
        <v>71</v>
      </c>
      <c r="Z33" t="s">
        <v>91</v>
      </c>
    </row>
    <row r="34" spans="1:26" x14ac:dyDescent="0.3">
      <c r="A34">
        <f>(E7*X7)/1000</f>
        <v>1544.2550153333332</v>
      </c>
      <c r="D34" s="51">
        <f t="shared" ref="D34:D55" si="13">E7*AK7</f>
        <v>41529398.092</v>
      </c>
      <c r="F34" s="51">
        <f t="shared" ref="F34:F55" si="14">E7*AN7</f>
        <v>61497800</v>
      </c>
    </row>
    <row r="35" spans="1:26" x14ac:dyDescent="0.3">
      <c r="A35">
        <f t="shared" ref="A34:A55" si="15">(E8*X8)/1000</f>
        <v>1105.7746700000002</v>
      </c>
      <c r="D35" s="51">
        <f t="shared" si="13"/>
        <v>32047672.019999996</v>
      </c>
      <c r="F35" s="51">
        <f t="shared" si="14"/>
        <v>46701200</v>
      </c>
    </row>
    <row r="36" spans="1:26" x14ac:dyDescent="0.3">
      <c r="A36">
        <f t="shared" si="15"/>
        <v>1188.1094073333336</v>
      </c>
      <c r="D36" s="51">
        <f t="shared" si="13"/>
        <v>35617844.443999998</v>
      </c>
      <c r="F36" s="51">
        <f t="shared" si="14"/>
        <v>51287600</v>
      </c>
    </row>
    <row r="37" spans="1:26" x14ac:dyDescent="0.3">
      <c r="A37">
        <f t="shared" si="15"/>
        <v>151.26614533333333</v>
      </c>
      <c r="D37" s="51">
        <f t="shared" si="13"/>
        <v>12418732.872</v>
      </c>
      <c r="F37" s="51">
        <f t="shared" si="14"/>
        <v>35198800</v>
      </c>
    </row>
    <row r="38" spans="1:26" x14ac:dyDescent="0.3">
      <c r="A38">
        <f t="shared" si="15"/>
        <v>537.09055399999988</v>
      </c>
      <c r="D38" s="51">
        <f t="shared" si="13"/>
        <v>21462219.324000001</v>
      </c>
      <c r="F38" s="51">
        <f t="shared" si="14"/>
        <v>32228560</v>
      </c>
    </row>
    <row r="39" spans="1:26" x14ac:dyDescent="0.3">
      <c r="A39">
        <f t="shared" si="15"/>
        <v>190.997443</v>
      </c>
      <c r="D39" s="51">
        <f t="shared" si="13"/>
        <v>10076542.658</v>
      </c>
      <c r="F39" s="51">
        <f t="shared" si="14"/>
        <v>16980600</v>
      </c>
    </row>
    <row r="40" spans="1:26" x14ac:dyDescent="0.3">
      <c r="A40">
        <f t="shared" si="15"/>
        <v>360.453821</v>
      </c>
      <c r="D40" s="51">
        <f t="shared" si="13"/>
        <v>12931662.925999999</v>
      </c>
      <c r="F40" s="51">
        <f t="shared" si="14"/>
        <v>17785040</v>
      </c>
    </row>
    <row r="41" spans="1:26" x14ac:dyDescent="0.3">
      <c r="A41">
        <f t="shared" si="15"/>
        <v>943.01995666666664</v>
      </c>
      <c r="D41" s="51">
        <f t="shared" si="13"/>
        <v>23634623.740000002</v>
      </c>
      <c r="F41" s="51">
        <f t="shared" si="14"/>
        <v>35792120</v>
      </c>
    </row>
    <row r="42" spans="1:26" x14ac:dyDescent="0.3">
      <c r="A42">
        <f t="shared" si="15"/>
        <v>884.61973599999988</v>
      </c>
      <c r="D42" s="51">
        <f t="shared" si="13"/>
        <v>23861313.476000004</v>
      </c>
      <c r="F42" s="51">
        <f t="shared" si="14"/>
        <v>35358960</v>
      </c>
    </row>
    <row r="43" spans="1:26" x14ac:dyDescent="0.3">
      <c r="A43">
        <f t="shared" si="15"/>
        <v>318.32907166666666</v>
      </c>
      <c r="D43" s="51">
        <f t="shared" si="13"/>
        <v>11654618.43</v>
      </c>
      <c r="F43" s="51">
        <f t="shared" si="14"/>
        <v>16207100</v>
      </c>
    </row>
    <row r="44" spans="1:26" x14ac:dyDescent="0.3">
      <c r="A44">
        <f t="shared" si="15"/>
        <v>460.02141033333334</v>
      </c>
      <c r="D44" s="51">
        <f t="shared" si="13"/>
        <v>14160790.461999999</v>
      </c>
      <c r="F44" s="51">
        <f t="shared" si="14"/>
        <v>20229300</v>
      </c>
    </row>
    <row r="45" spans="1:26" x14ac:dyDescent="0.3">
      <c r="A45">
        <f t="shared" si="15"/>
        <v>682.61241533333327</v>
      </c>
      <c r="D45" s="51">
        <f t="shared" si="13"/>
        <v>18932314.492000002</v>
      </c>
      <c r="F45" s="51">
        <f t="shared" si="14"/>
        <v>27840540</v>
      </c>
    </row>
    <row r="46" spans="1:26" x14ac:dyDescent="0.3">
      <c r="A46">
        <f t="shared" si="15"/>
        <v>460.50010066666664</v>
      </c>
      <c r="D46" s="51">
        <f t="shared" si="13"/>
        <v>14164390.604</v>
      </c>
      <c r="F46" s="51">
        <f t="shared" si="14"/>
        <v>20244770</v>
      </c>
    </row>
    <row r="47" spans="1:26" x14ac:dyDescent="0.3">
      <c r="A47">
        <f t="shared" si="15"/>
        <v>528.95281833333331</v>
      </c>
      <c r="D47" s="51">
        <f t="shared" si="13"/>
        <v>15462180.370000001</v>
      </c>
      <c r="F47" s="51">
        <f t="shared" si="14"/>
        <v>22395100</v>
      </c>
    </row>
    <row r="48" spans="1:26" x14ac:dyDescent="0.3">
      <c r="A48">
        <f t="shared" si="15"/>
        <v>1154.6010839999999</v>
      </c>
      <c r="D48" s="51">
        <f t="shared" si="13"/>
        <v>45098852.343999997</v>
      </c>
      <c r="F48" s="51">
        <f t="shared" si="14"/>
        <v>64828400</v>
      </c>
    </row>
    <row r="49" spans="1:6" x14ac:dyDescent="0.3">
      <c r="A49">
        <f t="shared" si="15"/>
        <v>7646.0176519999995</v>
      </c>
      <c r="D49" s="51">
        <f t="shared" si="13"/>
        <v>115389549.912</v>
      </c>
      <c r="F49" s="51">
        <f t="shared" si="14"/>
        <v>209919840</v>
      </c>
    </row>
    <row r="50" spans="1:6" x14ac:dyDescent="0.3">
      <c r="A50">
        <f t="shared" si="15"/>
        <v>7702.4274600000008</v>
      </c>
      <c r="D50" s="51">
        <f t="shared" si="13"/>
        <v>115830656.75999999</v>
      </c>
      <c r="F50" s="51">
        <f t="shared" si="14"/>
        <v>211033680</v>
      </c>
    </row>
    <row r="51" spans="1:6" x14ac:dyDescent="0.3">
      <c r="A51">
        <f t="shared" si="15"/>
        <v>2457.1448719999994</v>
      </c>
      <c r="D51" s="51">
        <f t="shared" si="13"/>
        <v>37387413.232000001</v>
      </c>
      <c r="F51" s="51">
        <f t="shared" si="14"/>
        <v>67798640</v>
      </c>
    </row>
    <row r="52" spans="1:6" x14ac:dyDescent="0.3">
      <c r="A52">
        <f t="shared" si="15"/>
        <v>7315.0248080000001</v>
      </c>
      <c r="D52" s="51">
        <f t="shared" si="13"/>
        <v>112412524.848</v>
      </c>
      <c r="F52" s="51">
        <f t="shared" si="14"/>
        <v>202998120</v>
      </c>
    </row>
    <row r="53" spans="1:6" x14ac:dyDescent="0.3">
      <c r="A53">
        <f t="shared" si="15"/>
        <v>7648.5063199999995</v>
      </c>
      <c r="D53" s="51">
        <f t="shared" si="13"/>
        <v>116489149.92000002</v>
      </c>
      <c r="F53" s="51">
        <f t="shared" si="14"/>
        <v>211192800</v>
      </c>
    </row>
    <row r="54" spans="1:6" x14ac:dyDescent="0.3">
      <c r="A54">
        <f t="shared" si="15"/>
        <v>2636.8820053333334</v>
      </c>
      <c r="D54" s="51">
        <f t="shared" si="13"/>
        <v>40233108.031999998</v>
      </c>
      <c r="F54" s="51">
        <f t="shared" si="14"/>
        <v>72917000</v>
      </c>
    </row>
    <row r="55" spans="1:6" x14ac:dyDescent="0.3">
      <c r="A55">
        <f t="shared" si="15"/>
        <v>8006.8745119999994</v>
      </c>
      <c r="D55" s="51">
        <f t="shared" si="13"/>
        <v>118556835.072</v>
      </c>
      <c r="F55" s="51">
        <f t="shared" si="14"/>
        <v>217557600</v>
      </c>
    </row>
    <row r="57" spans="1:6" x14ac:dyDescent="0.3">
      <c r="A57" t="s">
        <v>72</v>
      </c>
      <c r="D57" t="s">
        <v>72</v>
      </c>
      <c r="F57" t="s">
        <v>72</v>
      </c>
    </row>
    <row r="58" spans="1:6" x14ac:dyDescent="0.3">
      <c r="A58">
        <f>SUM(A34:A55)</f>
        <v>53923.481278333333</v>
      </c>
      <c r="D58" s="51">
        <f>SUM(D34:D55)</f>
        <v>989352394.03000009</v>
      </c>
      <c r="F58" s="51">
        <f>SUM(F34:F55)</f>
        <v>1697993570</v>
      </c>
    </row>
  </sheetData>
  <mergeCells count="1">
    <mergeCell ref="A4:N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7BD9-F08E-405C-994F-9FEADB2D5A69}">
  <dimension ref="A2:Q33"/>
  <sheetViews>
    <sheetView zoomScale="91" zoomScaleNormal="115" workbookViewId="0">
      <selection activeCell="I12" sqref="I12"/>
    </sheetView>
  </sheetViews>
  <sheetFormatPr defaultRowHeight="14.4" x14ac:dyDescent="0.3"/>
  <cols>
    <col min="1" max="1" width="9.5546875" bestFit="1" customWidth="1"/>
    <col min="2" max="2" width="14.6640625" bestFit="1" customWidth="1"/>
    <col min="3" max="3" width="14.5546875" customWidth="1"/>
    <col min="4" max="4" width="12.5546875" bestFit="1" customWidth="1"/>
    <col min="5" max="5" width="10.88671875" customWidth="1"/>
    <col min="6" max="6" width="11" bestFit="1" customWidth="1"/>
    <col min="7" max="7" width="8.6640625" customWidth="1"/>
    <col min="8" max="8" width="10" customWidth="1"/>
    <col min="9" max="9" width="25.44140625" bestFit="1" customWidth="1"/>
    <col min="10" max="17" width="9.6640625" customWidth="1"/>
  </cols>
  <sheetData>
    <row r="2" spans="1:17" x14ac:dyDescent="0.3">
      <c r="A2" s="115" t="s">
        <v>92</v>
      </c>
      <c r="B2" s="115"/>
      <c r="C2" s="115"/>
      <c r="D2" s="115"/>
      <c r="F2" s="115" t="s">
        <v>93</v>
      </c>
      <c r="G2" s="115"/>
      <c r="H2" s="115"/>
    </row>
    <row r="3" spans="1:17" x14ac:dyDescent="0.3">
      <c r="A3" t="s">
        <v>94</v>
      </c>
      <c r="B3" t="s">
        <v>95</v>
      </c>
      <c r="C3" s="1">
        <v>300</v>
      </c>
      <c r="D3" t="s">
        <v>96</v>
      </c>
      <c r="G3" s="3">
        <v>2025</v>
      </c>
      <c r="H3" s="3">
        <v>2050</v>
      </c>
    </row>
    <row r="4" spans="1:17" x14ac:dyDescent="0.3">
      <c r="B4" t="s">
        <v>97</v>
      </c>
      <c r="C4" s="1">
        <v>9652</v>
      </c>
      <c r="D4" t="s">
        <v>98</v>
      </c>
      <c r="F4" t="s">
        <v>99</v>
      </c>
      <c r="G4" s="6">
        <f>'balance sheet'!D18/1000</f>
        <v>315.09394119840005</v>
      </c>
      <c r="H4" s="6">
        <f>'balance sheet'!J18/1000</f>
        <v>306.43526919840002</v>
      </c>
      <c r="I4" t="s">
        <v>100</v>
      </c>
    </row>
    <row r="5" spans="1:17" x14ac:dyDescent="0.3">
      <c r="B5" t="s">
        <v>101</v>
      </c>
      <c r="C5" s="1">
        <v>20</v>
      </c>
      <c r="D5" t="s">
        <v>102</v>
      </c>
      <c r="F5" t="s">
        <v>103</v>
      </c>
      <c r="G5" s="6">
        <f>'balance sheet'!F18/1000</f>
        <v>331.63</v>
      </c>
      <c r="H5" s="6">
        <f>'balance sheet'!L18/1000</f>
        <v>331.63</v>
      </c>
      <c r="I5" t="s">
        <v>100</v>
      </c>
      <c r="J5" s="114"/>
      <c r="K5" s="114"/>
      <c r="L5" s="114"/>
      <c r="M5" s="114"/>
    </row>
    <row r="6" spans="1:17" x14ac:dyDescent="0.3">
      <c r="B6" t="s">
        <v>104</v>
      </c>
      <c r="C6" s="1">
        <v>11.33</v>
      </c>
      <c r="D6" t="s">
        <v>105</v>
      </c>
      <c r="F6" t="s">
        <v>106</v>
      </c>
      <c r="G6" s="6">
        <f>G5-G4</f>
        <v>16.53605880159995</v>
      </c>
      <c r="H6" s="6">
        <f>H5-H4</f>
        <v>25.194730801599974</v>
      </c>
      <c r="I6" t="s">
        <v>100</v>
      </c>
      <c r="K6" s="4"/>
    </row>
    <row r="7" spans="1:17" x14ac:dyDescent="0.3">
      <c r="B7" t="s">
        <v>107</v>
      </c>
      <c r="C7" s="1">
        <v>0</v>
      </c>
      <c r="D7" t="s">
        <v>96</v>
      </c>
      <c r="F7" t="s">
        <v>108</v>
      </c>
      <c r="G7" s="6">
        <f>(G5-G4)/G5*100</f>
        <v>4.9862976213249555</v>
      </c>
      <c r="H7" s="6">
        <f>(H5-H4)/H5*100</f>
        <v>7.5972411427192883</v>
      </c>
      <c r="I7" t="s">
        <v>109</v>
      </c>
    </row>
    <row r="8" spans="1:17" x14ac:dyDescent="0.3">
      <c r="B8" t="s">
        <v>110</v>
      </c>
      <c r="C8" s="1">
        <v>0</v>
      </c>
      <c r="D8" t="s">
        <v>105</v>
      </c>
      <c r="L8" s="18"/>
    </row>
    <row r="9" spans="1:17" x14ac:dyDescent="0.3">
      <c r="A9" t="s">
        <v>25</v>
      </c>
      <c r="B9" t="s">
        <v>25</v>
      </c>
      <c r="C9" s="1">
        <v>71.617999999999995</v>
      </c>
      <c r="D9" t="s">
        <v>102</v>
      </c>
    </row>
    <row r="10" spans="1:17" x14ac:dyDescent="0.3">
      <c r="B10" t="s">
        <v>111</v>
      </c>
      <c r="C10" s="1">
        <v>0</v>
      </c>
      <c r="D10" t="s">
        <v>112</v>
      </c>
      <c r="L10" s="4"/>
      <c r="M10" s="4"/>
      <c r="N10" s="4"/>
      <c r="O10" s="4"/>
      <c r="P10" s="4"/>
      <c r="Q10" s="4"/>
    </row>
    <row r="11" spans="1:17" x14ac:dyDescent="0.3">
      <c r="B11" t="s">
        <v>113</v>
      </c>
      <c r="C11" s="1">
        <v>0</v>
      </c>
      <c r="D11" t="s">
        <v>102</v>
      </c>
      <c r="L11" s="4"/>
      <c r="M11" s="4"/>
      <c r="N11" s="4"/>
      <c r="O11" s="4"/>
      <c r="P11" s="4"/>
      <c r="Q11" s="4"/>
    </row>
    <row r="12" spans="1:17" x14ac:dyDescent="0.3">
      <c r="B12" t="s">
        <v>76</v>
      </c>
      <c r="C12" s="1">
        <v>46.552</v>
      </c>
      <c r="D12" t="s">
        <v>102</v>
      </c>
    </row>
    <row r="13" spans="1:17" x14ac:dyDescent="0.3">
      <c r="B13" t="s">
        <v>114</v>
      </c>
      <c r="C13" s="1">
        <v>0</v>
      </c>
      <c r="D13" t="s">
        <v>102</v>
      </c>
    </row>
    <row r="14" spans="1:17" x14ac:dyDescent="0.3">
      <c r="B14" t="s">
        <v>89</v>
      </c>
      <c r="C14" s="1">
        <v>0</v>
      </c>
      <c r="D14" t="s">
        <v>102</v>
      </c>
    </row>
    <row r="15" spans="1:17" x14ac:dyDescent="0.3">
      <c r="B15" t="s">
        <v>115</v>
      </c>
      <c r="C15" s="1">
        <v>299.39999999999998</v>
      </c>
      <c r="D15" t="s">
        <v>116</v>
      </c>
    </row>
    <row r="16" spans="1:17" x14ac:dyDescent="0.3">
      <c r="A16" t="s">
        <v>117</v>
      </c>
      <c r="B16" t="s">
        <v>31</v>
      </c>
      <c r="C16" s="1">
        <v>3</v>
      </c>
      <c r="D16" t="s">
        <v>96</v>
      </c>
      <c r="I16" s="3"/>
      <c r="J16" s="4"/>
    </row>
    <row r="17" spans="1:11" x14ac:dyDescent="0.3">
      <c r="B17" t="s">
        <v>118</v>
      </c>
      <c r="C17" s="1">
        <v>12</v>
      </c>
      <c r="D17" t="s">
        <v>96</v>
      </c>
      <c r="K17" s="4"/>
    </row>
    <row r="18" spans="1:11" x14ac:dyDescent="0.3">
      <c r="A18" t="s">
        <v>119</v>
      </c>
      <c r="B18" t="s">
        <v>120</v>
      </c>
      <c r="C18" s="52">
        <f>C11*3.14+C12*3.14*0.2</f>
        <v>29.234656000000001</v>
      </c>
      <c r="D18" t="s">
        <v>102</v>
      </c>
    </row>
    <row r="19" spans="1:11" x14ac:dyDescent="0.3">
      <c r="A19" t="s">
        <v>121</v>
      </c>
      <c r="B19" t="s">
        <v>30</v>
      </c>
      <c r="C19" s="1">
        <v>1026</v>
      </c>
      <c r="D19" t="s">
        <v>122</v>
      </c>
    </row>
    <row r="20" spans="1:11" x14ac:dyDescent="0.3">
      <c r="B20" t="s">
        <v>123</v>
      </c>
      <c r="C20" s="1">
        <v>3.5</v>
      </c>
      <c r="D20" t="s">
        <v>124</v>
      </c>
    </row>
    <row r="21" spans="1:11" x14ac:dyDescent="0.3">
      <c r="C21" s="1"/>
      <c r="K21" s="4"/>
    </row>
    <row r="24" spans="1:11" x14ac:dyDescent="0.3">
      <c r="C24">
        <f>70*0.75</f>
        <v>52.5</v>
      </c>
    </row>
    <row r="25" spans="1:11" x14ac:dyDescent="0.3">
      <c r="F25" s="4"/>
      <c r="I25" s="4"/>
    </row>
    <row r="26" spans="1:11" x14ac:dyDescent="0.3">
      <c r="G26" s="5"/>
      <c r="I26" s="2"/>
    </row>
    <row r="33" spans="13:13" x14ac:dyDescent="0.3">
      <c r="M33" s="5"/>
    </row>
  </sheetData>
  <mergeCells count="4">
    <mergeCell ref="J5:K5"/>
    <mergeCell ref="L5:M5"/>
    <mergeCell ref="F2:H2"/>
    <mergeCell ref="A2:D2"/>
  </mergeCells>
  <conditionalFormatting sqref="L12:Q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0C42-92AF-4236-B8C0-5E36FEE84446}">
  <dimension ref="C3:M26"/>
  <sheetViews>
    <sheetView topLeftCell="E1" zoomScale="85" zoomScaleNormal="85" workbookViewId="0">
      <selection activeCell="D6" sqref="D6"/>
    </sheetView>
  </sheetViews>
  <sheetFormatPr defaultColWidth="8.88671875" defaultRowHeight="14.4" x14ac:dyDescent="0.3"/>
  <cols>
    <col min="1" max="2" width="8.88671875" style="8"/>
    <col min="3" max="3" width="32.44140625" style="8" customWidth="1"/>
    <col min="4" max="4" width="11.33203125" style="8" customWidth="1"/>
    <col min="5" max="5" width="18.33203125" style="8" bestFit="1" customWidth="1"/>
    <col min="6" max="6" width="11.33203125" style="8" customWidth="1"/>
    <col min="7" max="7" width="15.109375" style="8" bestFit="1" customWidth="1"/>
    <col min="8" max="8" width="8.88671875" style="8"/>
    <col min="9" max="9" width="35.5546875" style="8" customWidth="1"/>
    <col min="10" max="10" width="16" style="8" customWidth="1"/>
    <col min="11" max="11" width="18.5546875" style="8" customWidth="1"/>
    <col min="12" max="12" width="10.44140625" style="8" bestFit="1" customWidth="1"/>
    <col min="13" max="13" width="7.5546875" style="8" bestFit="1" customWidth="1"/>
    <col min="14" max="16384" width="8.88671875" style="8"/>
  </cols>
  <sheetData>
    <row r="3" spans="3:12" ht="21" x14ac:dyDescent="0.4">
      <c r="E3" s="19">
        <v>2025</v>
      </c>
      <c r="K3" s="19">
        <v>2050</v>
      </c>
    </row>
    <row r="4" spans="3:12" x14ac:dyDescent="0.3">
      <c r="C4" s="9" t="s">
        <v>125</v>
      </c>
      <c r="D4" s="10"/>
      <c r="E4" s="10" t="s">
        <v>126</v>
      </c>
      <c r="I4" s="9" t="s">
        <v>125</v>
      </c>
      <c r="J4" s="10"/>
      <c r="K4" s="10" t="s">
        <v>126</v>
      </c>
    </row>
    <row r="5" spans="3:12" x14ac:dyDescent="0.3">
      <c r="C5" s="8" t="s">
        <v>113</v>
      </c>
      <c r="D5" s="11">
        <f>main!C11*1000*1.3</f>
        <v>0</v>
      </c>
      <c r="E5" s="8" t="s">
        <v>77</v>
      </c>
      <c r="F5" s="11">
        <f>main!C3*[1]assumptions!C6*main!C19</f>
        <v>261630</v>
      </c>
      <c r="I5" s="8" t="s">
        <v>113</v>
      </c>
      <c r="J5" s="12">
        <f>main!C11*[1]assumptions!D7*1000</f>
        <v>0</v>
      </c>
      <c r="K5" s="8" t="s">
        <v>77</v>
      </c>
      <c r="L5" s="11">
        <f>main!C3*[1]assumptions!D6*main!C19</f>
        <v>261630</v>
      </c>
    </row>
    <row r="6" spans="3:12" x14ac:dyDescent="0.3">
      <c r="C6" s="8" t="s">
        <v>76</v>
      </c>
      <c r="D6" s="11">
        <f>main!C12*[1]assumptions!C8*1000</f>
        <v>83793.599999999991</v>
      </c>
      <c r="E6" s="8" t="s">
        <v>78</v>
      </c>
      <c r="F6" s="11">
        <f>main!C5*1000*main!C20</f>
        <v>70000</v>
      </c>
      <c r="I6" s="8" t="s">
        <v>76</v>
      </c>
      <c r="J6" s="11">
        <f>main!C12*[1]assumptions!D8*1000</f>
        <v>60517.599999999999</v>
      </c>
      <c r="K6" s="8" t="s">
        <v>78</v>
      </c>
      <c r="L6" s="11">
        <f>main!C5*main!C20*1000</f>
        <v>70000</v>
      </c>
    </row>
    <row r="7" spans="3:12" x14ac:dyDescent="0.3">
      <c r="C7" s="8" t="s">
        <v>114</v>
      </c>
      <c r="D7" s="11">
        <f>main!C13*[1]assumptions!C9*1000</f>
        <v>0</v>
      </c>
      <c r="F7" s="11"/>
      <c r="I7" s="8" t="s">
        <v>114</v>
      </c>
      <c r="J7" s="11">
        <f>main!C13*[1]assumptions!D9*1000</f>
        <v>0</v>
      </c>
      <c r="L7" s="11"/>
    </row>
    <row r="8" spans="3:12" x14ac:dyDescent="0.3">
      <c r="C8" s="8" t="s">
        <v>127</v>
      </c>
      <c r="D8" s="11">
        <f>main!C15*[1]assumptions!C11</f>
        <v>28442.999999999996</v>
      </c>
      <c r="F8" s="11"/>
      <c r="I8" s="8" t="s">
        <v>127</v>
      </c>
      <c r="J8" s="12">
        <f>main!C15*[1]assumptions!D11</f>
        <v>28442.999999999996</v>
      </c>
      <c r="L8" s="11"/>
    </row>
    <row r="9" spans="3:12" x14ac:dyDescent="0.3">
      <c r="C9" s="8" t="s">
        <v>128</v>
      </c>
      <c r="D9" s="11">
        <f>main!C14*17*1000</f>
        <v>0</v>
      </c>
      <c r="F9" s="11"/>
      <c r="I9" s="8" t="s">
        <v>128</v>
      </c>
      <c r="J9" s="12">
        <f>main!C14*[1]assumptions!D10*1000</f>
        <v>0</v>
      </c>
      <c r="L9" s="11"/>
    </row>
    <row r="10" spans="3:12" x14ac:dyDescent="0.3">
      <c r="C10" s="8" t="s">
        <v>120</v>
      </c>
      <c r="D10" s="11">
        <f>main!C18*[1]assumptions!C14</f>
        <v>0</v>
      </c>
      <c r="F10" s="11"/>
      <c r="I10" s="8" t="s">
        <v>120</v>
      </c>
      <c r="J10" s="12">
        <f>main!C18*[1]assumptions!D14</f>
        <v>14617.328000000001</v>
      </c>
      <c r="L10" s="11"/>
    </row>
    <row r="11" spans="3:12" x14ac:dyDescent="0.3">
      <c r="C11" s="8" t="s">
        <v>117</v>
      </c>
      <c r="D11" s="11">
        <f>main!C16*main!C6/1000*[1]assumptions!C15+main!C17*main!C6/1000*[1]assumptions!C16</f>
        <v>11896.5</v>
      </c>
      <c r="F11" s="11"/>
      <c r="I11" s="8" t="s">
        <v>117</v>
      </c>
      <c r="J11" s="12">
        <f>main!C16*main!C6/1000*[1]assumptions!D15+main!C17*main!C6/1000*[1]assumptions!D16</f>
        <v>11896.5</v>
      </c>
      <c r="L11" s="11"/>
    </row>
    <row r="12" spans="3:12" x14ac:dyDescent="0.3">
      <c r="C12" s="8" t="s">
        <v>129</v>
      </c>
      <c r="D12" s="12">
        <f>[1]assumptions!C13*main!C4+(2+main!C7)*main!C3*[1]assumptions!C12*[1]assumptions!C6</f>
        <v>27753.3</v>
      </c>
      <c r="F12" s="11"/>
      <c r="I12" s="8" t="s">
        <v>130</v>
      </c>
      <c r="J12" s="12">
        <f>[1]assumptions!C13*main!C4+(2+main!C7)*main!C3*[1]assumptions!C12*[1]assumptions!C6</f>
        <v>27753.3</v>
      </c>
      <c r="L12" s="11"/>
    </row>
    <row r="13" spans="3:12" x14ac:dyDescent="0.3">
      <c r="C13" s="8" t="s">
        <v>131</v>
      </c>
      <c r="D13" s="11">
        <f>main!C6*[1]assumptions!C18</f>
        <v>90640</v>
      </c>
      <c r="F13" s="11"/>
      <c r="I13" s="8" t="s">
        <v>131</v>
      </c>
      <c r="J13" s="12">
        <f>main!C6*[1]assumptions!D18</f>
        <v>90640</v>
      </c>
      <c r="L13" s="11"/>
    </row>
    <row r="14" spans="3:12" x14ac:dyDescent="0.3">
      <c r="C14" s="8" t="s">
        <v>36</v>
      </c>
      <c r="D14" s="11">
        <f>main!C6*[1]assumptions!C17</f>
        <v>22660</v>
      </c>
      <c r="F14" s="11"/>
      <c r="I14" s="8" t="s">
        <v>36</v>
      </c>
      <c r="J14" s="12">
        <f>D14</f>
        <v>22660</v>
      </c>
      <c r="L14" s="11"/>
    </row>
    <row r="15" spans="3:12" x14ac:dyDescent="0.3">
      <c r="C15" s="8" t="s">
        <v>132</v>
      </c>
      <c r="D15" s="12">
        <f>main!C3*[1]assumptions!D20*(1-[1]assumptions!D22)/[1]assumptions!D21/[1]assumptions!D23*1000000*main!C6</f>
        <v>21243.75</v>
      </c>
      <c r="F15" s="11"/>
      <c r="I15" s="8" t="s">
        <v>132</v>
      </c>
      <c r="J15" s="12">
        <f>main!C3*[1]assumptions!D20*(1-[1]assumptions!D22)/[1]assumptions!D21/[1]assumptions!D23*1000000*main!C6</f>
        <v>21243.75</v>
      </c>
      <c r="L15" s="11"/>
    </row>
    <row r="16" spans="3:12" x14ac:dyDescent="0.3">
      <c r="C16" s="8" t="s">
        <v>133</v>
      </c>
      <c r="D16" s="11">
        <f>main!C3*[1]assumptions!C6*[1]assumptions!C19</f>
        <v>7650</v>
      </c>
      <c r="F16" s="11"/>
      <c r="I16" s="8" t="s">
        <v>133</v>
      </c>
      <c r="J16" s="12">
        <f>main!C3*[1]assumptions!D6*[1]assumptions!D19</f>
        <v>7650</v>
      </c>
      <c r="L16" s="11"/>
    </row>
    <row r="17" spans="3:13" x14ac:dyDescent="0.3">
      <c r="C17" s="8" t="s">
        <v>134</v>
      </c>
      <c r="D17" s="12">
        <f>0.071456*SUM(D5:D16)</f>
        <v>21013.791198400002</v>
      </c>
      <c r="F17" s="11"/>
      <c r="I17" s="8" t="s">
        <v>134</v>
      </c>
      <c r="J17" s="12">
        <f>0.071456*SUM(D5:D16)</f>
        <v>21013.791198400002</v>
      </c>
      <c r="L17" s="11"/>
    </row>
    <row r="18" spans="3:13" x14ac:dyDescent="0.3">
      <c r="C18" s="13" t="s">
        <v>135</v>
      </c>
      <c r="D18" s="14">
        <f>SUM(D5:D17)</f>
        <v>315093.94119840005</v>
      </c>
      <c r="E18" s="13" t="s">
        <v>135</v>
      </c>
      <c r="F18" s="9">
        <f>SUM(F5:F17)</f>
        <v>331630</v>
      </c>
      <c r="I18" s="13" t="s">
        <v>135</v>
      </c>
      <c r="J18" s="14">
        <f>SUM(J5:J17)</f>
        <v>306435.26919840003</v>
      </c>
      <c r="K18" s="13" t="s">
        <v>135</v>
      </c>
      <c r="L18" s="9">
        <f>SUM(L5:L17)</f>
        <v>331630</v>
      </c>
    </row>
    <row r="19" spans="3:13" x14ac:dyDescent="0.3">
      <c r="C19" s="13" t="s">
        <v>136</v>
      </c>
      <c r="D19" s="16">
        <f>D18/288/10000*100</f>
        <v>10.940761847166669</v>
      </c>
      <c r="E19" s="13" t="s">
        <v>137</v>
      </c>
      <c r="F19" s="16">
        <f>F18/288/10000*100</f>
        <v>11.514930555555557</v>
      </c>
      <c r="G19" s="10" t="s">
        <v>138</v>
      </c>
      <c r="I19" s="13" t="s">
        <v>136</v>
      </c>
      <c r="J19" s="16">
        <f>J18/288/10000*100</f>
        <v>10.640113513833334</v>
      </c>
      <c r="K19" s="13" t="s">
        <v>137</v>
      </c>
      <c r="L19" s="16">
        <f>L18/288/10000*100</f>
        <v>11.514930555555557</v>
      </c>
      <c r="M19" s="17" t="s">
        <v>138</v>
      </c>
    </row>
    <row r="24" spans="3:13" x14ac:dyDescent="0.3">
      <c r="F24" s="15"/>
      <c r="G24" s="15"/>
    </row>
    <row r="25" spans="3:13" x14ac:dyDescent="0.3">
      <c r="E25" s="15"/>
    </row>
    <row r="26" spans="3:13" x14ac:dyDescent="0.3">
      <c r="E26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F28A-CABF-4C5F-BB70-41244A5C6F0D}">
  <dimension ref="B2:F25"/>
  <sheetViews>
    <sheetView zoomScale="89" zoomScaleNormal="115" workbookViewId="0">
      <selection activeCell="I17" sqref="I17"/>
    </sheetView>
  </sheetViews>
  <sheetFormatPr defaultRowHeight="14.4" x14ac:dyDescent="0.3"/>
  <cols>
    <col min="2" max="2" width="36.5546875" customWidth="1"/>
    <col min="3" max="3" width="10" bestFit="1" customWidth="1"/>
    <col min="5" max="5" width="16.88671875" customWidth="1"/>
    <col min="6" max="6" width="14.6640625" bestFit="1" customWidth="1"/>
  </cols>
  <sheetData>
    <row r="2" spans="2:6" x14ac:dyDescent="0.3">
      <c r="B2" s="4"/>
    </row>
    <row r="5" spans="2:6" x14ac:dyDescent="0.3">
      <c r="B5" s="4"/>
      <c r="C5" s="4">
        <v>2025</v>
      </c>
      <c r="D5" s="41">
        <v>2050</v>
      </c>
      <c r="F5" s="4"/>
    </row>
    <row r="6" spans="2:6" x14ac:dyDescent="0.3">
      <c r="B6" t="s">
        <v>139</v>
      </c>
      <c r="C6">
        <v>0.85</v>
      </c>
      <c r="D6" s="47">
        <v>0.85</v>
      </c>
      <c r="E6" t="s">
        <v>140</v>
      </c>
    </row>
    <row r="7" spans="2:6" x14ac:dyDescent="0.3">
      <c r="B7" t="s">
        <v>141</v>
      </c>
      <c r="C7">
        <v>1.3</v>
      </c>
      <c r="D7" s="42">
        <v>1.3</v>
      </c>
      <c r="E7" t="s">
        <v>142</v>
      </c>
      <c r="F7" s="7"/>
    </row>
    <row r="8" spans="2:6" x14ac:dyDescent="0.3">
      <c r="B8" t="s">
        <v>76</v>
      </c>
      <c r="C8" s="54">
        <v>1.8</v>
      </c>
      <c r="D8" s="42">
        <v>1.3</v>
      </c>
      <c r="E8" t="s">
        <v>142</v>
      </c>
    </row>
    <row r="9" spans="2:6" x14ac:dyDescent="0.3">
      <c r="B9" t="s">
        <v>114</v>
      </c>
      <c r="C9" s="46">
        <v>5.0999999999999996</v>
      </c>
      <c r="D9" s="42">
        <v>3.2</v>
      </c>
      <c r="E9" t="s">
        <v>142</v>
      </c>
    </row>
    <row r="10" spans="2:6" x14ac:dyDescent="0.3">
      <c r="B10" t="s">
        <v>128</v>
      </c>
      <c r="C10" s="42">
        <v>17</v>
      </c>
      <c r="D10" s="42">
        <v>6</v>
      </c>
      <c r="E10" t="s">
        <v>142</v>
      </c>
    </row>
    <row r="11" spans="2:6" x14ac:dyDescent="0.3">
      <c r="B11" t="s">
        <v>127</v>
      </c>
      <c r="C11" s="42">
        <v>95</v>
      </c>
      <c r="D11" s="42">
        <v>95</v>
      </c>
      <c r="E11" t="s">
        <v>143</v>
      </c>
    </row>
    <row r="12" spans="2:6" x14ac:dyDescent="0.3">
      <c r="B12" t="s">
        <v>130</v>
      </c>
      <c r="C12" s="43">
        <v>26.03</v>
      </c>
      <c r="D12" s="43">
        <v>26.03</v>
      </c>
      <c r="E12" t="s">
        <v>144</v>
      </c>
      <c r="F12" s="20"/>
    </row>
    <row r="13" spans="2:6" x14ac:dyDescent="0.3">
      <c r="B13" t="s">
        <v>145</v>
      </c>
      <c r="C13" s="43">
        <v>1.5</v>
      </c>
      <c r="D13" s="43">
        <v>1.5</v>
      </c>
      <c r="E13" t="s">
        <v>146</v>
      </c>
    </row>
    <row r="14" spans="2:6" x14ac:dyDescent="0.3">
      <c r="B14" t="s">
        <v>147</v>
      </c>
      <c r="C14" s="42">
        <v>0</v>
      </c>
      <c r="D14" s="42">
        <v>500</v>
      </c>
      <c r="E14" t="s">
        <v>148</v>
      </c>
    </row>
    <row r="15" spans="2:6" x14ac:dyDescent="0.3">
      <c r="B15" t="s">
        <v>149</v>
      </c>
      <c r="C15" s="42">
        <v>150000</v>
      </c>
      <c r="D15" s="42">
        <v>150000</v>
      </c>
      <c r="E15" t="s">
        <v>150</v>
      </c>
    </row>
    <row r="16" spans="2:6" x14ac:dyDescent="0.3">
      <c r="B16" t="s">
        <v>151</v>
      </c>
      <c r="C16" s="42">
        <v>50000</v>
      </c>
      <c r="D16" s="42">
        <v>50000</v>
      </c>
      <c r="E16" t="s">
        <v>150</v>
      </c>
    </row>
    <row r="17" spans="2:6" x14ac:dyDescent="0.3">
      <c r="B17" t="s">
        <v>36</v>
      </c>
      <c r="C17" s="42">
        <v>2000</v>
      </c>
      <c r="D17" s="42">
        <v>2000</v>
      </c>
      <c r="E17" t="s">
        <v>152</v>
      </c>
    </row>
    <row r="18" spans="2:6" x14ac:dyDescent="0.3">
      <c r="B18" t="s">
        <v>131</v>
      </c>
      <c r="C18" s="42">
        <v>8000</v>
      </c>
      <c r="D18" s="42">
        <v>8000</v>
      </c>
      <c r="E18" t="s">
        <v>152</v>
      </c>
    </row>
    <row r="19" spans="2:6" x14ac:dyDescent="0.3">
      <c r="B19" t="s">
        <v>153</v>
      </c>
      <c r="C19" s="42">
        <v>30</v>
      </c>
      <c r="D19" s="42">
        <v>30</v>
      </c>
      <c r="E19" t="s">
        <v>144</v>
      </c>
    </row>
    <row r="20" spans="2:6" x14ac:dyDescent="0.3">
      <c r="B20" t="s">
        <v>154</v>
      </c>
      <c r="C20" s="42">
        <v>5</v>
      </c>
      <c r="D20" s="42">
        <v>5</v>
      </c>
      <c r="E20" t="s">
        <v>144</v>
      </c>
    </row>
    <row r="21" spans="2:6" x14ac:dyDescent="0.3">
      <c r="B21" t="s">
        <v>155</v>
      </c>
      <c r="C21" s="42">
        <v>25</v>
      </c>
      <c r="D21" s="42">
        <v>25</v>
      </c>
      <c r="E21" t="s">
        <v>156</v>
      </c>
    </row>
    <row r="22" spans="2:6" x14ac:dyDescent="0.3">
      <c r="B22" t="s">
        <v>157</v>
      </c>
      <c r="C22" s="42">
        <v>0.2</v>
      </c>
      <c r="D22" s="42">
        <v>0.2</v>
      </c>
      <c r="E22" t="s">
        <v>158</v>
      </c>
    </row>
    <row r="23" spans="2:6" x14ac:dyDescent="0.3">
      <c r="B23" t="s">
        <v>159</v>
      </c>
      <c r="C23" s="42">
        <v>5120</v>
      </c>
      <c r="D23" s="42">
        <v>5120</v>
      </c>
      <c r="E23" t="s">
        <v>160</v>
      </c>
    </row>
    <row r="24" spans="2:6" x14ac:dyDescent="0.3">
      <c r="F24" s="7"/>
    </row>
    <row r="25" spans="2:6" x14ac:dyDescent="0.3">
      <c r="B25" s="5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FD69-5BF4-4765-A65F-44627117911A}">
  <dimension ref="A1:D5"/>
  <sheetViews>
    <sheetView zoomScale="123" workbookViewId="0">
      <selection activeCell="D1" sqref="D1"/>
    </sheetView>
  </sheetViews>
  <sheetFormatPr defaultRowHeight="14.4" x14ac:dyDescent="0.3"/>
  <cols>
    <col min="1" max="1" width="28.109375" customWidth="1"/>
    <col min="2" max="2" width="18.44140625" customWidth="1"/>
    <col min="3" max="3" width="11.44140625" customWidth="1"/>
  </cols>
  <sheetData>
    <row r="1" spans="1:4" x14ac:dyDescent="0.3">
      <c r="B1" t="s">
        <v>161</v>
      </c>
      <c r="C1" t="s">
        <v>162</v>
      </c>
      <c r="D1" t="s">
        <v>187</v>
      </c>
    </row>
    <row r="2" spans="1:4" x14ac:dyDescent="0.3">
      <c r="A2" t="s">
        <v>163</v>
      </c>
      <c r="B2" s="109" t="s">
        <v>164</v>
      </c>
      <c r="C2" s="72" t="s">
        <v>165</v>
      </c>
      <c r="D2" s="72" t="s">
        <v>165</v>
      </c>
    </row>
    <row r="3" spans="1:4" x14ac:dyDescent="0.3">
      <c r="A3" t="s">
        <v>166</v>
      </c>
      <c r="B3" s="72" t="s">
        <v>165</v>
      </c>
      <c r="C3" s="73" t="s">
        <v>167</v>
      </c>
      <c r="D3" s="73" t="s">
        <v>167</v>
      </c>
    </row>
    <row r="4" spans="1:4" x14ac:dyDescent="0.3">
      <c r="A4" t="s">
        <v>168</v>
      </c>
      <c r="B4" s="72" t="s">
        <v>165</v>
      </c>
      <c r="C4" s="53" t="s">
        <v>169</v>
      </c>
      <c r="D4" s="73" t="s">
        <v>167</v>
      </c>
    </row>
    <row r="5" spans="1:4" x14ac:dyDescent="0.3">
      <c r="A5" t="s">
        <v>170</v>
      </c>
      <c r="B5" s="36" t="s">
        <v>140</v>
      </c>
      <c r="C5" s="36" t="s">
        <v>140</v>
      </c>
      <c r="D5" s="53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12AE-AD7E-4E0E-9BE8-A71E4887F6DB}">
  <dimension ref="A1:G13"/>
  <sheetViews>
    <sheetView workbookViewId="0">
      <selection activeCell="D17" sqref="D17"/>
    </sheetView>
  </sheetViews>
  <sheetFormatPr defaultRowHeight="14.4" x14ac:dyDescent="0.3"/>
  <cols>
    <col min="1" max="1" width="15.109375" customWidth="1"/>
    <col min="2" max="2" width="24.44140625" customWidth="1"/>
    <col min="3" max="3" width="14.33203125" customWidth="1"/>
    <col min="4" max="6" width="16.88671875" bestFit="1" customWidth="1"/>
    <col min="7" max="7" width="18.5546875" bestFit="1" customWidth="1"/>
  </cols>
  <sheetData>
    <row r="1" spans="1:7" x14ac:dyDescent="0.3">
      <c r="A1" s="74" t="s">
        <v>171</v>
      </c>
      <c r="B1" s="75" t="s">
        <v>172</v>
      </c>
      <c r="C1" s="79" t="s">
        <v>173</v>
      </c>
      <c r="D1" s="74" t="s">
        <v>163</v>
      </c>
      <c r="E1" s="82" t="s">
        <v>174</v>
      </c>
      <c r="F1" s="82" t="s">
        <v>175</v>
      </c>
      <c r="G1" s="82" t="s">
        <v>176</v>
      </c>
    </row>
    <row r="2" spans="1:7" x14ac:dyDescent="0.3">
      <c r="A2" s="74" t="s">
        <v>177</v>
      </c>
      <c r="B2" s="75"/>
      <c r="C2" s="79"/>
      <c r="D2" s="74">
        <v>2025</v>
      </c>
      <c r="E2" s="82">
        <v>2050</v>
      </c>
      <c r="F2" s="82">
        <v>2050</v>
      </c>
      <c r="G2" s="82">
        <v>2050</v>
      </c>
    </row>
    <row r="3" spans="1:7" x14ac:dyDescent="0.3">
      <c r="A3" s="74" t="s">
        <v>178</v>
      </c>
      <c r="B3" s="75" t="s">
        <v>179</v>
      </c>
      <c r="C3" s="79" t="s">
        <v>180</v>
      </c>
      <c r="D3" s="74">
        <f>'Baseline 2025'!A56</f>
        <v>150484.13379999998</v>
      </c>
      <c r="E3" s="82">
        <f>'Scenario 1 2025'!A55</f>
        <v>150484.13379999998</v>
      </c>
      <c r="F3" s="82">
        <f>'Scenario 2 2025'!A57</f>
        <v>97814.686969999995</v>
      </c>
      <c r="G3" s="82">
        <f>'Scenario 3 2025'!A58</f>
        <v>53923.481278333333</v>
      </c>
    </row>
    <row r="4" spans="1:7" x14ac:dyDescent="0.3">
      <c r="A4" s="76"/>
      <c r="B4" t="s">
        <v>181</v>
      </c>
      <c r="C4" s="80" t="s">
        <v>180</v>
      </c>
      <c r="D4" s="76" t="s">
        <v>140</v>
      </c>
      <c r="E4" s="83" t="s">
        <v>140</v>
      </c>
      <c r="F4" s="83">
        <f>'Scenario 2 2025'!D57</f>
        <v>629107.28158055549</v>
      </c>
      <c r="G4" s="83" t="s">
        <v>140</v>
      </c>
    </row>
    <row r="5" spans="1:7" x14ac:dyDescent="0.3">
      <c r="A5" s="76"/>
      <c r="B5" t="s">
        <v>182</v>
      </c>
      <c r="C5" s="80">
        <f>D5/2</f>
        <v>315617.21318399999</v>
      </c>
      <c r="D5" s="76">
        <f>'Baseline 2025'!N29</f>
        <v>631234.42636799999</v>
      </c>
      <c r="E5" s="83">
        <f>E3*'Scenario 1 2025'!M7</f>
        <v>195629.37393999999</v>
      </c>
      <c r="F5" s="83">
        <f>(F3*'Scenario 2 2025'!M7)</f>
        <v>127159.09306099999</v>
      </c>
      <c r="G5" s="99">
        <f>G3*3.97</f>
        <v>214076.22067498334</v>
      </c>
    </row>
    <row r="6" spans="1:7" x14ac:dyDescent="0.3">
      <c r="A6" s="76"/>
      <c r="B6" t="s">
        <v>95</v>
      </c>
      <c r="C6" s="80" t="s">
        <v>180</v>
      </c>
      <c r="D6" s="76">
        <f>SUM('Baseline 2025'!E7:E21)*100+SUM('Baseline 2025'!E22:E28)*300</f>
        <v>1367600</v>
      </c>
      <c r="E6" s="83">
        <f>D6</f>
        <v>1367600</v>
      </c>
      <c r="F6" s="83">
        <f>D6</f>
        <v>1367600</v>
      </c>
      <c r="G6" s="83">
        <f>D6</f>
        <v>1367600</v>
      </c>
    </row>
    <row r="7" spans="1:7" x14ac:dyDescent="0.3">
      <c r="A7" s="76"/>
      <c r="B7" t="s">
        <v>183</v>
      </c>
      <c r="C7" s="80" t="s">
        <v>180</v>
      </c>
      <c r="D7" s="76">
        <f>SUM('Baseline 2025'!E7:E21)*10.9+SUM('Baseline 2025'!E22:E28)*20</f>
        <v>126614.8</v>
      </c>
      <c r="E7" s="83">
        <f>D7</f>
        <v>126614.8</v>
      </c>
      <c r="F7" s="83">
        <f>D7</f>
        <v>126614.8</v>
      </c>
      <c r="G7" s="83">
        <f>D7</f>
        <v>126614.8</v>
      </c>
    </row>
    <row r="8" spans="1:7" x14ac:dyDescent="0.3">
      <c r="A8" s="74" t="s">
        <v>184</v>
      </c>
      <c r="B8" s="75" t="s">
        <v>185</v>
      </c>
      <c r="C8" s="79" t="s">
        <v>165</v>
      </c>
      <c r="D8" s="97" t="s">
        <v>164</v>
      </c>
      <c r="E8" s="98" t="s">
        <v>165</v>
      </c>
      <c r="F8" s="98" t="s">
        <v>165</v>
      </c>
      <c r="G8" s="84" t="s">
        <v>140</v>
      </c>
    </row>
    <row r="9" spans="1:7" x14ac:dyDescent="0.3">
      <c r="A9" s="76"/>
      <c r="B9" t="s">
        <v>186</v>
      </c>
      <c r="C9" s="80" t="s">
        <v>165</v>
      </c>
      <c r="D9" s="98" t="s">
        <v>165</v>
      </c>
      <c r="E9" s="93" t="s">
        <v>167</v>
      </c>
      <c r="F9" s="87" t="s">
        <v>169</v>
      </c>
      <c r="G9" s="85" t="s">
        <v>140</v>
      </c>
    </row>
    <row r="10" spans="1:7" x14ac:dyDescent="0.3">
      <c r="A10" s="77"/>
      <c r="B10" s="78" t="s">
        <v>187</v>
      </c>
      <c r="C10" s="81" t="s">
        <v>165</v>
      </c>
      <c r="D10" s="98" t="s">
        <v>165</v>
      </c>
      <c r="E10" s="92" t="s">
        <v>167</v>
      </c>
      <c r="F10" s="92" t="s">
        <v>167</v>
      </c>
      <c r="G10" s="86" t="s">
        <v>169</v>
      </c>
    </row>
    <row r="11" spans="1:7" x14ac:dyDescent="0.3">
      <c r="A11" s="76" t="s">
        <v>188</v>
      </c>
      <c r="B11" t="s">
        <v>189</v>
      </c>
      <c r="C11" s="80" t="s">
        <v>180</v>
      </c>
      <c r="D11" s="90">
        <f>'Baseline 2025'!D56</f>
        <v>812332823.62699997</v>
      </c>
      <c r="E11" s="91">
        <f>'Scenario 1 2025'!D55</f>
        <v>890440052.84000003</v>
      </c>
      <c r="F11" s="91">
        <f>'Scenario 2 2025'!G57</f>
        <v>852815580.29615283</v>
      </c>
      <c r="G11" s="91">
        <f>'Scenario 3 2025'!D58</f>
        <v>1582510688.0916667</v>
      </c>
    </row>
    <row r="12" spans="1:7" x14ac:dyDescent="0.3">
      <c r="A12" s="76"/>
      <c r="B12" t="s">
        <v>190</v>
      </c>
      <c r="C12" s="80" t="s">
        <v>180</v>
      </c>
      <c r="D12" s="90">
        <f>'Baseline 2025'!F56</f>
        <v>919998430</v>
      </c>
      <c r="E12" s="91">
        <f>'Scenario 1 2025'!F55</f>
        <v>1001149409</v>
      </c>
      <c r="F12" s="91">
        <f>'Scenario 2 2025'!I57</f>
        <v>963258384.39999998</v>
      </c>
      <c r="G12" s="91">
        <f>'Scenario 3 2025'!F58</f>
        <v>1697993570</v>
      </c>
    </row>
    <row r="13" spans="1:7" x14ac:dyDescent="0.3">
      <c r="A13" s="77"/>
      <c r="B13" s="78" t="s">
        <v>191</v>
      </c>
      <c r="C13" s="81" t="s">
        <v>180</v>
      </c>
      <c r="D13" s="94">
        <f>((D12-D11)/D11)</f>
        <v>0.13253878612497996</v>
      </c>
      <c r="E13" s="95">
        <f>((E12-E11)/E11)</f>
        <v>0.12433106058841328</v>
      </c>
      <c r="F13" s="95">
        <f>((F12-F11)/F11)</f>
        <v>0.12950373639456053</v>
      </c>
      <c r="G13" s="96">
        <f>((G12-G11)/G11)</f>
        <v>7.2974472006626961E-2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90f42b-64c4-4e1d-b8a2-9a34aba7b617">
      <Terms xmlns="http://schemas.microsoft.com/office/infopath/2007/PartnerControls"/>
    </lcf76f155ced4ddcb4097134ff3c332f>
    <TaxCatchAll xmlns="ef9a9971-8f81-456e-9573-47180d38c8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0B29C7A0642D4BBF07F7C4671D95A9" ma:contentTypeVersion="19" ma:contentTypeDescription="Een nieuw document maken." ma:contentTypeScope="" ma:versionID="4671533e215aebfe99226f44ddb5acab">
  <xsd:schema xmlns:xsd="http://www.w3.org/2001/XMLSchema" xmlns:xs="http://www.w3.org/2001/XMLSchema" xmlns:p="http://schemas.microsoft.com/office/2006/metadata/properties" xmlns:ns2="6b90f42b-64c4-4e1d-b8a2-9a34aba7b617" xmlns:ns3="ef9a9971-8f81-456e-9573-47180d38c8d8" targetNamespace="http://schemas.microsoft.com/office/2006/metadata/properties" ma:root="true" ma:fieldsID="b12595c096bb6b890953020edfc5739a" ns2:_="" ns3:_="">
    <xsd:import namespace="6b90f42b-64c4-4e1d-b8a2-9a34aba7b617"/>
    <xsd:import namespace="ef9a9971-8f81-456e-9573-47180d38c8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0f42b-64c4-4e1d-b8a2-9a34aba7b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32d39682-ccf7-48d8-962f-2ca2d3d5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9a9971-8f81-456e-9573-47180d38c8d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1b49d27-bcf6-47ce-85d9-7aaae477881c}" ma:internalName="TaxCatchAll" ma:showField="CatchAllData" ma:web="ef9a9971-8f81-456e-9573-47180d38c8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B7E046-B502-40B7-BD77-C2D495AB8CE3}">
  <ds:schemaRefs>
    <ds:schemaRef ds:uri="http://schemas.microsoft.com/office/2006/metadata/properties"/>
    <ds:schemaRef ds:uri="http://schemas.microsoft.com/office/infopath/2007/PartnerControls"/>
    <ds:schemaRef ds:uri="6b90f42b-64c4-4e1d-b8a2-9a34aba7b617"/>
    <ds:schemaRef ds:uri="ef9a9971-8f81-456e-9573-47180d38c8d8"/>
  </ds:schemaRefs>
</ds:datastoreItem>
</file>

<file path=customXml/itemProps2.xml><?xml version="1.0" encoding="utf-8"?>
<ds:datastoreItem xmlns:ds="http://schemas.openxmlformats.org/officeDocument/2006/customXml" ds:itemID="{10F6F632-1FEF-4DC8-9E24-65A115D841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90f42b-64c4-4e1d-b8a2-9a34aba7b617"/>
    <ds:schemaRef ds:uri="ef9a9971-8f81-456e-9573-47180d38c8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91736A-16C2-4D2D-8344-FF13017EF3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Baseline 2025</vt:lpstr>
      <vt:lpstr>Baseline 2050</vt:lpstr>
      <vt:lpstr>Scenario 1 2025</vt:lpstr>
      <vt:lpstr>Scenario 1 2050</vt:lpstr>
      <vt:lpstr>Scenario 2 2025</vt:lpstr>
      <vt:lpstr>Scenario 2 2050</vt:lpstr>
      <vt:lpstr>Scenario 3 2025</vt:lpstr>
      <vt:lpstr>Scenario 3 2050</vt:lpstr>
      <vt:lpstr>main</vt:lpstr>
      <vt:lpstr>balance sheet</vt:lpstr>
      <vt:lpstr>assumptions</vt:lpstr>
      <vt:lpstr>feasibility</vt:lpstr>
      <vt:lpstr>KPI's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Wouter Dalmeijer</dc:creator>
  <cp:keywords/>
  <dc:description/>
  <cp:lastModifiedBy>gilbert Adriana Cantillo</cp:lastModifiedBy>
  <cp:revision/>
  <dcterms:created xsi:type="dcterms:W3CDTF">2025-02-25T12:48:34Z</dcterms:created>
  <dcterms:modified xsi:type="dcterms:W3CDTF">2026-06-04T19:39:07Z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0x0101006B0B29C7A0642D4BBF07F7C4671D95A9</vt:lpwstr>
  </property>
</Properties>
</file>